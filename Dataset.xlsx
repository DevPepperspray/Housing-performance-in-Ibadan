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19200" windowHeight="8440" firstSheet="1" activeTab="4"/>
  </bookViews>
  <sheets>
    <sheet name="Final_Analysis_Dataset" sheetId="1" r:id="rId1"/>
    <sheet name="Housing_Performance" sheetId="2" r:id="rId2"/>
    <sheet name="Monetary_Policy_Data" sheetId="3" r:id="rId3"/>
    <sheet name="Correlation_Analysis" sheetId="4" r:id="rId4"/>
    <sheet name="Respondent_Data" sheetId="5" r:id="rId5"/>
    <sheet name="Research_Objectives" sheetId="6" r:id="rId6"/>
    <sheet name="Formulas_Definitions" sheetId="7" r:id="rId7"/>
  </sheets>
  <calcPr calcId="152511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2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3" i="2"/>
  <c r="I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2" i="2"/>
</calcChain>
</file>

<file path=xl/sharedStrings.xml><?xml version="1.0" encoding="utf-8"?>
<sst xmlns="http://schemas.openxmlformats.org/spreadsheetml/2006/main" count="676" uniqueCount="106">
  <si>
    <t>Year</t>
  </si>
  <si>
    <t>2BD_HP%</t>
  </si>
  <si>
    <t>3BD_HP%</t>
  </si>
  <si>
    <t>MPR%</t>
  </si>
  <si>
    <t>Money_Supply_M2</t>
  </si>
  <si>
    <t>Cash_Reserve_Ratio%</t>
  </si>
  <si>
    <t>Liquidity_Ratio%</t>
  </si>
  <si>
    <t>Inflation%</t>
  </si>
  <si>
    <t>Exchange_Rate</t>
  </si>
  <si>
    <t>GDP_Growth%</t>
  </si>
  <si>
    <t>2BD_Rental</t>
  </si>
  <si>
    <t>2BD_Capital</t>
  </si>
  <si>
    <t>2BD_IR%</t>
  </si>
  <si>
    <t>2BD_CR%</t>
  </si>
  <si>
    <t>3BD_Rental</t>
  </si>
  <si>
    <t>3BD_Capital</t>
  </si>
  <si>
    <t>3BD_IR%</t>
  </si>
  <si>
    <t>3BD_CR%</t>
  </si>
  <si>
    <t>ID</t>
  </si>
  <si>
    <t>Experience</t>
  </si>
  <si>
    <t>Market_Familiarity</t>
  </si>
  <si>
    <t>Gender</t>
  </si>
  <si>
    <t>Age_Group</t>
  </si>
  <si>
    <t>Position</t>
  </si>
  <si>
    <t>Firm_Age</t>
  </si>
  <si>
    <t>Policy_Observation</t>
  </si>
  <si>
    <t>Above 20 years</t>
  </si>
  <si>
    <t>Somewhat familiar</t>
  </si>
  <si>
    <t>Female</t>
  </si>
  <si>
    <t>Above 60</t>
  </si>
  <si>
    <t>Senior Partner</t>
  </si>
  <si>
    <t>M2 growth correlates with property price increases</t>
  </si>
  <si>
    <t>16-20 years</t>
  </si>
  <si>
    <t>Male</t>
  </si>
  <si>
    <t>Below 30</t>
  </si>
  <si>
    <t>Principal Partner</t>
  </si>
  <si>
    <t>Tight monetary policy reduces housing demand</t>
  </si>
  <si>
    <t>11 -15 years</t>
  </si>
  <si>
    <t>Very familiar</t>
  </si>
  <si>
    <t>51-60</t>
  </si>
  <si>
    <t>Senior Surveyor</t>
  </si>
  <si>
    <t>High CRR limits bank lending to real estate</t>
  </si>
  <si>
    <t>Less than 5 years</t>
  </si>
  <si>
    <t>41-50</t>
  </si>
  <si>
    <t>Surveyor</t>
  </si>
  <si>
    <t>High inflation pushes rental yields up</t>
  </si>
  <si>
    <t>Managing Partner</t>
  </si>
  <si>
    <t>31-40</t>
  </si>
  <si>
    <t>Estate Manager</t>
  </si>
  <si>
    <t>Partner</t>
  </si>
  <si>
    <t>Head of Department</t>
  </si>
  <si>
    <t>Exchange rate volatility affects construction costs</t>
  </si>
  <si>
    <t>MPR increases reduce mortgage accessibility</t>
  </si>
  <si>
    <t>5 -10 years</t>
  </si>
  <si>
    <t>Property Manager</t>
  </si>
  <si>
    <t>Objective</t>
  </si>
  <si>
    <t>Hypothesis</t>
  </si>
  <si>
    <t>Expected_Relationship</t>
  </si>
  <si>
    <t>Data_Used</t>
  </si>
  <si>
    <t>Analysis_Method</t>
  </si>
  <si>
    <t>Effect of MPR on housing performance</t>
  </si>
  <si>
    <t>Increase in MPR negatively affects housing performance</t>
  </si>
  <si>
    <t>Negative correlation</t>
  </si>
  <si>
    <t>MPR% and Housing Performance% (2010-2025)</t>
  </si>
  <si>
    <t>Regression Analysis</t>
  </si>
  <si>
    <t>Effect of Money Supply (M2) on housing performance</t>
  </si>
  <si>
    <t>Increase in M2 positively affects housing performance</t>
  </si>
  <si>
    <t>Positive correlation</t>
  </si>
  <si>
    <t>M2 Growth and Housing Performance%</t>
  </si>
  <si>
    <t>Correlation Analysis</t>
  </si>
  <si>
    <t>Effect of Liquidity Ratio on housing performance</t>
  </si>
  <si>
    <t>Higher liquidity ratio may constrain housing finance</t>
  </si>
  <si>
    <t>Liquidity Ratio% and Housing Performance%</t>
  </si>
  <si>
    <t>Time Series Analysis</t>
  </si>
  <si>
    <t>Effect of Cash Reserve Ratio on housing performance</t>
  </si>
  <si>
    <t>Higher CRR reduces bank lending to housing sector</t>
  </si>
  <si>
    <t>CRR% and Housing Performance%</t>
  </si>
  <si>
    <t>Comparative Analysis</t>
  </si>
  <si>
    <t>Term</t>
  </si>
  <si>
    <t>Formula</t>
  </si>
  <si>
    <t>Measurement</t>
  </si>
  <si>
    <t>Expected_Impact_on_Housing</t>
  </si>
  <si>
    <t>HP (Housing Performance)</t>
  </si>
  <si>
    <t>IR% + CR%</t>
  </si>
  <si>
    <t>Percentage (%)</t>
  </si>
  <si>
    <t>Dependent variable</t>
  </si>
  <si>
    <t>IR (Income Return)</t>
  </si>
  <si>
    <t>(Annual Rental Income / Capital Value) × 100</t>
  </si>
  <si>
    <t>Affected by rental market conditions</t>
  </si>
  <si>
    <t>CR (Capital Return)</t>
  </si>
  <si>
    <t>((Current CV - Previous CV) / Previous CV) × 100</t>
  </si>
  <si>
    <t>Affected by property price appreciation</t>
  </si>
  <si>
    <t>MPR</t>
  </si>
  <si>
    <t>Central Bank policy interest rate</t>
  </si>
  <si>
    <t>Affects mortgage interest rates</t>
  </si>
  <si>
    <t>M2</t>
  </si>
  <si>
    <t>Broad money supply measure</t>
  </si>
  <si>
    <t>Trillion Naira (₦T)</t>
  </si>
  <si>
    <t>Affects credit availability</t>
  </si>
  <si>
    <t>CRR</t>
  </si>
  <si>
    <t>Percentage of deposits banks must hold with central bank</t>
  </si>
  <si>
    <t>Affects bank lending capacity</t>
  </si>
  <si>
    <t>Liquidity Ratio</t>
  </si>
  <si>
    <t>Minimum liquid assets banks must maintain</t>
  </si>
  <si>
    <t>Affects bank liquidity for housing loans</t>
  </si>
  <si>
    <t>Money Supply M2(Trillion)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</si>
</sst>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8751"/>
        <bgColor rgb="FF008751"/>
      </patternFill>
    </fill>
    <fill>
      <patternFill patternType="solid">
        <fgColor rgb="FFF0FFE8"/>
        <bgColor rgb="FFF0FFE8"/>
      </patternFill>
    </fill>
    <fill>
      <patternFill patternType="solid">
        <fgColor rgb="FFE8F4FF"/>
        <bgColor rgb="FFE8F4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3" fillId="0" borderId="0" xfId="0" applyFont="1"/>
    <xf numFmtId="3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171" fontId="0" fillId="0" borderId="0" xfId="0" applyNumberFormat="1"/>
    <xf numFmtId="171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opLeftCell="C1" workbookViewId="0">
      <selection activeCell="J21" sqref="J21"/>
    </sheetView>
  </sheetViews>
  <sheetFormatPr defaultRowHeight="14.5" x14ac:dyDescent="0.35"/>
  <cols>
    <col min="1" max="1" width="6" customWidth="1"/>
    <col min="2" max="3" width="20" customWidth="1"/>
    <col min="4" max="4" width="7" customWidth="1"/>
    <col min="5" max="5" width="17" customWidth="1"/>
    <col min="6" max="6" width="21" customWidth="1"/>
    <col min="7" max="7" width="18" customWidth="1"/>
    <col min="8" max="8" width="12" customWidth="1"/>
    <col min="9" max="9" width="15" customWidth="1"/>
    <col min="10" max="10" width="13" customWidth="1"/>
    <col min="11" max="11" width="12" customWidth="1"/>
    <col min="12" max="12" width="20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9" t="s">
        <v>105</v>
      </c>
      <c r="F1" s="1" t="s">
        <v>5</v>
      </c>
      <c r="G1" s="1" t="s">
        <v>6</v>
      </c>
      <c r="H1" s="1"/>
      <c r="I1" s="1"/>
      <c r="J1" s="1"/>
      <c r="K1" s="1"/>
      <c r="L1" s="1"/>
    </row>
    <row r="2" spans="1:12" x14ac:dyDescent="0.35">
      <c r="A2">
        <v>2010</v>
      </c>
      <c r="B2">
        <f>Housing_Performance!F2</f>
        <v>1.9368218341957982E-2</v>
      </c>
      <c r="C2" s="2">
        <f>Housing_Performance!K2</f>
        <v>1.2199633693798987E-2</v>
      </c>
      <c r="D2">
        <v>6.25</v>
      </c>
      <c r="E2" s="10">
        <v>11.034000000000001</v>
      </c>
      <c r="F2">
        <v>2</v>
      </c>
      <c r="G2" s="3">
        <v>30</v>
      </c>
      <c r="H2" s="3"/>
      <c r="I2" s="3"/>
      <c r="J2" s="3"/>
      <c r="K2" s="3"/>
      <c r="L2" s="3"/>
    </row>
    <row r="3" spans="1:12" x14ac:dyDescent="0.35">
      <c r="A3">
        <v>2011</v>
      </c>
      <c r="B3">
        <f>Housing_Performance!F3</f>
        <v>0.1626716286335575</v>
      </c>
      <c r="C3" s="2">
        <f>Housing_Performance!K3</f>
        <v>0.14279413800151444</v>
      </c>
      <c r="D3">
        <v>12</v>
      </c>
      <c r="E3" s="10">
        <v>12.641</v>
      </c>
      <c r="F3">
        <v>8</v>
      </c>
      <c r="G3" s="3">
        <v>30</v>
      </c>
      <c r="H3" s="3"/>
      <c r="I3" s="3"/>
      <c r="J3" s="3"/>
      <c r="K3" s="3"/>
      <c r="L3" s="3"/>
    </row>
    <row r="4" spans="1:12" x14ac:dyDescent="0.35">
      <c r="A4">
        <v>2012</v>
      </c>
      <c r="B4">
        <f>Housing_Performance!F4</f>
        <v>0.14748515796110481</v>
      </c>
      <c r="C4" s="2">
        <f>Housing_Performance!K4</f>
        <v>0.13487960754552333</v>
      </c>
      <c r="D4">
        <v>12</v>
      </c>
      <c r="E4" s="10">
        <v>15.336</v>
      </c>
      <c r="F4">
        <v>12</v>
      </c>
      <c r="G4" s="3">
        <v>30</v>
      </c>
      <c r="H4" s="3"/>
      <c r="I4" s="3"/>
      <c r="J4" s="3"/>
      <c r="K4" s="3"/>
      <c r="L4" s="3"/>
    </row>
    <row r="5" spans="1:12" x14ac:dyDescent="0.35">
      <c r="A5">
        <v>2013</v>
      </c>
      <c r="B5">
        <f>Housing_Performance!F5</f>
        <v>0.14105691182340621</v>
      </c>
      <c r="C5" s="2">
        <f>Housing_Performance!K5</f>
        <v>0.1313785900528546</v>
      </c>
      <c r="D5">
        <v>12</v>
      </c>
      <c r="E5" s="10">
        <v>16.440000000000001</v>
      </c>
      <c r="F5">
        <v>12</v>
      </c>
      <c r="G5" s="3">
        <v>30</v>
      </c>
      <c r="H5" s="3"/>
      <c r="I5" s="3"/>
      <c r="J5" s="3"/>
      <c r="K5" s="3"/>
      <c r="L5" s="3"/>
    </row>
    <row r="6" spans="1:12" x14ac:dyDescent="0.35">
      <c r="A6">
        <v>2014</v>
      </c>
      <c r="B6">
        <f>Housing_Performance!F6</f>
        <v>0.13174372181444982</v>
      </c>
      <c r="C6" s="2">
        <f>Housing_Performance!K6</f>
        <v>0.13280997346954904</v>
      </c>
      <c r="D6">
        <v>13</v>
      </c>
      <c r="E6" s="10">
        <v>17.68</v>
      </c>
      <c r="F6">
        <v>15</v>
      </c>
      <c r="G6" s="3">
        <v>30</v>
      </c>
      <c r="H6" s="3"/>
      <c r="I6" s="3"/>
      <c r="J6" s="3"/>
      <c r="K6" s="3"/>
      <c r="L6" s="3"/>
    </row>
    <row r="7" spans="1:12" x14ac:dyDescent="0.35">
      <c r="A7">
        <v>2015</v>
      </c>
      <c r="B7">
        <f>Housing_Performance!F7</f>
        <v>0.11715232683630757</v>
      </c>
      <c r="C7" s="2">
        <f>Housing_Performance!K7</f>
        <v>0.15816765327490123</v>
      </c>
      <c r="D7">
        <v>11</v>
      </c>
      <c r="E7" s="10">
        <v>18.724</v>
      </c>
      <c r="F7">
        <v>20</v>
      </c>
      <c r="G7" s="3">
        <v>30</v>
      </c>
      <c r="H7" s="3"/>
      <c r="I7" s="3"/>
      <c r="J7" s="3"/>
      <c r="K7" s="3"/>
      <c r="L7" s="3"/>
    </row>
    <row r="8" spans="1:12" x14ac:dyDescent="0.35">
      <c r="A8">
        <v>2016</v>
      </c>
      <c r="B8">
        <f>Housing_Performance!F8</f>
        <v>0.13072949668555084</v>
      </c>
      <c r="C8" s="2">
        <f>Housing_Performance!K8</f>
        <v>0.14272363995908213</v>
      </c>
      <c r="D8">
        <v>14</v>
      </c>
      <c r="E8" s="10">
        <v>23.140999999999998</v>
      </c>
      <c r="F8">
        <v>22.5</v>
      </c>
      <c r="G8" s="3">
        <v>30</v>
      </c>
      <c r="H8" s="3"/>
      <c r="I8" s="3"/>
      <c r="J8" s="3"/>
      <c r="K8" s="3"/>
      <c r="L8" s="3"/>
    </row>
    <row r="9" spans="1:12" x14ac:dyDescent="0.35">
      <c r="A9">
        <v>2017</v>
      </c>
      <c r="B9">
        <f>Housing_Performance!F9</f>
        <v>0.13465600548374615</v>
      </c>
      <c r="C9" s="2">
        <f>Housing_Performance!K9</f>
        <v>0.14875880679004977</v>
      </c>
      <c r="D9">
        <v>14</v>
      </c>
      <c r="E9" s="11">
        <v>21.853999999999999</v>
      </c>
      <c r="F9">
        <v>22.5</v>
      </c>
      <c r="G9" s="3">
        <v>30</v>
      </c>
      <c r="H9" s="3"/>
      <c r="I9" s="3"/>
      <c r="J9" s="3"/>
      <c r="K9" s="3"/>
      <c r="L9" s="3"/>
    </row>
    <row r="10" spans="1:12" x14ac:dyDescent="0.35">
      <c r="A10">
        <v>2018</v>
      </c>
      <c r="B10">
        <f>Housing_Performance!F10</f>
        <v>0.18641256004269705</v>
      </c>
      <c r="C10" s="2">
        <f>Housing_Performance!K10</f>
        <v>0.12992149614828796</v>
      </c>
      <c r="D10">
        <v>14</v>
      </c>
      <c r="E10" s="10">
        <v>26.584</v>
      </c>
      <c r="F10">
        <v>22.5</v>
      </c>
      <c r="G10" s="3">
        <v>30</v>
      </c>
      <c r="H10" s="3"/>
      <c r="I10" s="3"/>
      <c r="J10" s="3"/>
      <c r="K10" s="3"/>
      <c r="L10" s="3"/>
    </row>
    <row r="11" spans="1:12" x14ac:dyDescent="0.35">
      <c r="A11">
        <v>2019</v>
      </c>
      <c r="B11">
        <f>Housing_Performance!F11</f>
        <v>0.17332183807424403</v>
      </c>
      <c r="C11" s="2">
        <f>Housing_Performance!K11</f>
        <v>0.10894447919295841</v>
      </c>
      <c r="D11">
        <v>13.5</v>
      </c>
      <c r="E11" s="10">
        <v>27.027999999999999</v>
      </c>
      <c r="F11">
        <v>22.5</v>
      </c>
      <c r="G11" s="3">
        <v>30</v>
      </c>
      <c r="H11" s="3"/>
      <c r="I11" s="3"/>
      <c r="J11" s="3"/>
      <c r="K11" s="3"/>
      <c r="L11" s="3"/>
    </row>
    <row r="12" spans="1:12" x14ac:dyDescent="0.35">
      <c r="A12">
        <v>2020</v>
      </c>
      <c r="B12">
        <f>Housing_Performance!F12</f>
        <v>0.16935615824545469</v>
      </c>
      <c r="C12" s="2">
        <f>Housing_Performance!K12</f>
        <v>0.12947654002531045</v>
      </c>
      <c r="D12">
        <v>11.5</v>
      </c>
      <c r="E12" s="10">
        <v>32.468000000000004</v>
      </c>
      <c r="F12">
        <v>27.5</v>
      </c>
      <c r="G12" s="3">
        <v>30</v>
      </c>
      <c r="H12" s="3"/>
      <c r="I12" s="3"/>
      <c r="J12" s="3"/>
      <c r="K12" s="3"/>
      <c r="L12" s="3"/>
    </row>
    <row r="13" spans="1:12" x14ac:dyDescent="0.35">
      <c r="A13">
        <v>2021</v>
      </c>
      <c r="B13">
        <f>Housing_Performance!F13</f>
        <v>0.21889777440397468</v>
      </c>
      <c r="C13" s="2">
        <f>Housing_Performance!K13</f>
        <v>0.10310957939428769</v>
      </c>
      <c r="D13">
        <v>11.5</v>
      </c>
      <c r="E13" s="10">
        <v>41.701999999999998</v>
      </c>
      <c r="F13">
        <v>27.5</v>
      </c>
      <c r="G13" s="3">
        <v>30</v>
      </c>
      <c r="H13" s="3"/>
      <c r="I13" s="3"/>
      <c r="J13" s="3"/>
      <c r="K13" s="3"/>
      <c r="L13" s="3"/>
    </row>
    <row r="14" spans="1:12" x14ac:dyDescent="0.35">
      <c r="A14">
        <v>2022</v>
      </c>
      <c r="B14">
        <f>Housing_Performance!F14</f>
        <v>0.24806951389098358</v>
      </c>
      <c r="C14" s="2">
        <f>Housing_Performance!K14</f>
        <v>0.16365219859828495</v>
      </c>
      <c r="D14">
        <v>16.5</v>
      </c>
      <c r="E14" s="10">
        <v>52.01</v>
      </c>
      <c r="F14">
        <v>32.5</v>
      </c>
      <c r="G14" s="3">
        <v>30</v>
      </c>
      <c r="H14" s="3"/>
      <c r="I14" s="3"/>
      <c r="J14" s="3"/>
      <c r="K14" s="3"/>
      <c r="L14" s="3"/>
    </row>
    <row r="15" spans="1:12" x14ac:dyDescent="0.35">
      <c r="A15">
        <v>2023</v>
      </c>
      <c r="B15">
        <f>Housing_Performance!F15</f>
        <v>0.20361858965351604</v>
      </c>
      <c r="C15" s="2">
        <f>Housing_Performance!K15</f>
        <v>0.15120877115710402</v>
      </c>
      <c r="D15">
        <v>18.75</v>
      </c>
      <c r="E15" s="10">
        <v>78.369</v>
      </c>
      <c r="F15">
        <v>32.5</v>
      </c>
      <c r="G15" s="3">
        <v>30</v>
      </c>
      <c r="H15" s="3"/>
      <c r="I15" s="3"/>
      <c r="J15" s="3"/>
      <c r="K15" s="3"/>
      <c r="L15" s="3"/>
    </row>
    <row r="16" spans="1:12" x14ac:dyDescent="0.35">
      <c r="A16">
        <v>2024</v>
      </c>
      <c r="B16">
        <f>Housing_Performance!F16</f>
        <v>0.27648230333037915</v>
      </c>
      <c r="C16" s="2">
        <f>Housing_Performance!K16</f>
        <v>0.25485273094582456</v>
      </c>
      <c r="D16">
        <v>26.75</v>
      </c>
      <c r="E16" s="10">
        <v>109.41</v>
      </c>
      <c r="F16">
        <v>50</v>
      </c>
      <c r="G16" s="3">
        <v>30</v>
      </c>
      <c r="H16" s="3"/>
      <c r="I16" s="3"/>
      <c r="J16" s="3"/>
      <c r="K16" s="3"/>
      <c r="L16" s="3"/>
    </row>
    <row r="17" spans="1:12" x14ac:dyDescent="0.35">
      <c r="A17">
        <v>2025</v>
      </c>
      <c r="B17">
        <f>Housing_Performance!F17</f>
        <v>0.26314836689807453</v>
      </c>
      <c r="C17" s="2">
        <f>Housing_Performance!K17</f>
        <v>0.17686598652062183</v>
      </c>
      <c r="D17">
        <v>27</v>
      </c>
      <c r="E17" s="10">
        <v>115</v>
      </c>
      <c r="F17">
        <v>48</v>
      </c>
      <c r="G17" s="3">
        <v>30</v>
      </c>
      <c r="H17" s="3"/>
      <c r="I17" s="3"/>
      <c r="J17" s="3"/>
      <c r="K17" s="3"/>
      <c r="L1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A5" sqref="A5"/>
    </sheetView>
  </sheetViews>
  <sheetFormatPr defaultRowHeight="14.5" x14ac:dyDescent="0.35"/>
  <cols>
    <col min="1" max="1" width="6" customWidth="1"/>
    <col min="2" max="2" width="12.6328125" bestFit="1" customWidth="1"/>
    <col min="3" max="3" width="13" customWidth="1"/>
    <col min="4" max="6" width="20" customWidth="1"/>
    <col min="7" max="7" width="12" customWidth="1"/>
    <col min="8" max="8" width="13" customWidth="1"/>
    <col min="9" max="11" width="20" customWidth="1"/>
  </cols>
  <sheetData>
    <row r="1" spans="1:11" x14ac:dyDescent="0.3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2</v>
      </c>
    </row>
    <row r="2" spans="1:11" x14ac:dyDescent="0.35">
      <c r="A2">
        <v>2010</v>
      </c>
      <c r="B2">
        <v>99857</v>
      </c>
      <c r="C2" s="7">
        <v>5155714.2860000003</v>
      </c>
      <c r="D2" s="6">
        <f>B2/C2</f>
        <v>1.9368218341957982E-2</v>
      </c>
      <c r="E2">
        <v>0</v>
      </c>
      <c r="F2">
        <f>D2+E2</f>
        <v>1.9368218341957982E-2</v>
      </c>
      <c r="G2" s="8">
        <v>176154</v>
      </c>
      <c r="H2" s="8">
        <v>14439286</v>
      </c>
      <c r="I2">
        <f>G2/H2</f>
        <v>1.2199633693798987E-2</v>
      </c>
      <c r="J2">
        <v>0</v>
      </c>
      <c r="K2">
        <f>I2+J2</f>
        <v>1.2199633693798987E-2</v>
      </c>
    </row>
    <row r="3" spans="1:11" x14ac:dyDescent="0.35">
      <c r="A3">
        <v>2011</v>
      </c>
      <c r="B3">
        <v>132071.42860000001</v>
      </c>
      <c r="C3">
        <v>5878571.4289999995</v>
      </c>
      <c r="D3" s="6">
        <f t="shared" ref="D3:D17" si="0">B3/C3</f>
        <v>2.2466585665433789E-2</v>
      </c>
      <c r="E3">
        <f>(C3-C2)/C2</f>
        <v>0.14020504296812369</v>
      </c>
      <c r="F3">
        <f t="shared" ref="F3:F17" si="1">D3+E3</f>
        <v>0.1626716286335575</v>
      </c>
      <c r="G3" s="8">
        <v>187143</v>
      </c>
      <c r="H3" s="8">
        <v>16335714</v>
      </c>
      <c r="I3">
        <f>G3/H3</f>
        <v>1.1456064913967029E-2</v>
      </c>
      <c r="J3">
        <f>(H3-H2)/H2</f>
        <v>0.13133807308754741</v>
      </c>
      <c r="K3">
        <f t="shared" ref="K3:K17" si="2">I3+J3</f>
        <v>0.14279413800151444</v>
      </c>
    </row>
    <row r="4" spans="1:11" x14ac:dyDescent="0.35">
      <c r="A4">
        <v>2012</v>
      </c>
      <c r="B4">
        <v>146142.85709999999</v>
      </c>
      <c r="C4">
        <v>6615714.2860000003</v>
      </c>
      <c r="D4" s="6">
        <f t="shared" si="0"/>
        <v>2.2090261275228232E-2</v>
      </c>
      <c r="E4">
        <f t="shared" ref="E4:E17" si="3">(C4-C3)/C3</f>
        <v>0.12539489668587658</v>
      </c>
      <c r="F4">
        <f t="shared" si="1"/>
        <v>0.14748515796110481</v>
      </c>
      <c r="G4" s="8">
        <v>224286</v>
      </c>
      <c r="H4" s="8">
        <v>18339286</v>
      </c>
      <c r="I4">
        <f t="shared" ref="I4:I17" si="4">G4/H4</f>
        <v>1.2229810909759518E-2</v>
      </c>
      <c r="J4">
        <f t="shared" ref="J4:J17" si="5">(H4-H3)/H3</f>
        <v>0.12264979663576382</v>
      </c>
      <c r="K4">
        <f t="shared" si="2"/>
        <v>0.13487960754552333</v>
      </c>
    </row>
    <row r="5" spans="1:11" x14ac:dyDescent="0.35">
      <c r="A5">
        <v>2013</v>
      </c>
      <c r="B5">
        <v>162642.85709999999</v>
      </c>
      <c r="C5">
        <v>7403571.4289999995</v>
      </c>
      <c r="D5" s="6">
        <f t="shared" si="0"/>
        <v>2.1968162076875939E-2</v>
      </c>
      <c r="E5">
        <f t="shared" si="3"/>
        <v>0.11908874974653028</v>
      </c>
      <c r="F5">
        <f t="shared" si="1"/>
        <v>0.14105691182340621</v>
      </c>
      <c r="G5" s="8">
        <v>254286</v>
      </c>
      <c r="H5" s="8">
        <v>20521429</v>
      </c>
      <c r="I5">
        <f t="shared" si="4"/>
        <v>1.2391242344770435E-2</v>
      </c>
      <c r="J5">
        <f t="shared" si="5"/>
        <v>0.11898734770808417</v>
      </c>
      <c r="K5">
        <f t="shared" si="2"/>
        <v>0.1313785900528546</v>
      </c>
    </row>
    <row r="6" spans="1:11" x14ac:dyDescent="0.35">
      <c r="A6">
        <v>2014</v>
      </c>
      <c r="B6">
        <v>192000</v>
      </c>
      <c r="C6">
        <v>8205714.2860000003</v>
      </c>
      <c r="D6" s="6">
        <f t="shared" si="0"/>
        <v>2.3398328689993093E-2</v>
      </c>
      <c r="E6">
        <f t="shared" si="3"/>
        <v>0.10834539312445672</v>
      </c>
      <c r="F6">
        <f t="shared" si="1"/>
        <v>0.13174372181444982</v>
      </c>
      <c r="G6" s="8">
        <v>288571</v>
      </c>
      <c r="H6" s="8">
        <v>22989286</v>
      </c>
      <c r="I6">
        <f t="shared" si="4"/>
        <v>1.2552412458568744E-2</v>
      </c>
      <c r="J6">
        <f t="shared" si="5"/>
        <v>0.12025756101098029</v>
      </c>
      <c r="K6">
        <f t="shared" si="2"/>
        <v>0.13280997346954904</v>
      </c>
    </row>
    <row r="7" spans="1:11" x14ac:dyDescent="0.35">
      <c r="A7">
        <v>2015</v>
      </c>
      <c r="B7">
        <v>213857</v>
      </c>
      <c r="C7">
        <v>8971428.5710000005</v>
      </c>
      <c r="D7" s="6">
        <f t="shared" si="0"/>
        <v>2.3837563695406253E-2</v>
      </c>
      <c r="E7">
        <f t="shared" si="3"/>
        <v>9.3314763140901313E-2</v>
      </c>
      <c r="F7">
        <f t="shared" si="1"/>
        <v>0.11715232683630757</v>
      </c>
      <c r="G7" s="8">
        <v>315714</v>
      </c>
      <c r="H7" s="8">
        <v>26350000</v>
      </c>
      <c r="I7">
        <f t="shared" si="4"/>
        <v>1.1981555977229601E-2</v>
      </c>
      <c r="J7">
        <f t="shared" si="5"/>
        <v>0.14618609729767162</v>
      </c>
      <c r="K7">
        <f t="shared" si="2"/>
        <v>0.15816765327490123</v>
      </c>
    </row>
    <row r="8" spans="1:11" x14ac:dyDescent="0.35">
      <c r="A8">
        <v>2016</v>
      </c>
      <c r="B8">
        <v>250285.71429999999</v>
      </c>
      <c r="C8">
        <v>9917857.1429999992</v>
      </c>
      <c r="D8" s="6">
        <f t="shared" si="0"/>
        <v>2.5235866043568804E-2</v>
      </c>
      <c r="E8">
        <f t="shared" si="3"/>
        <v>0.10549363064198204</v>
      </c>
      <c r="F8">
        <f t="shared" si="1"/>
        <v>0.13072949668555084</v>
      </c>
      <c r="G8" s="8">
        <v>371429</v>
      </c>
      <c r="H8" s="8">
        <v>29782143</v>
      </c>
      <c r="I8">
        <f t="shared" si="4"/>
        <v>1.2471533697222526E-2</v>
      </c>
      <c r="J8">
        <f t="shared" si="5"/>
        <v>0.1302521062618596</v>
      </c>
      <c r="K8">
        <f t="shared" si="2"/>
        <v>0.14272363995908213</v>
      </c>
    </row>
    <row r="9" spans="1:11" x14ac:dyDescent="0.35">
      <c r="A9">
        <v>2017</v>
      </c>
      <c r="B9">
        <v>281000</v>
      </c>
      <c r="C9">
        <v>11000000</v>
      </c>
      <c r="D9" s="6">
        <f t="shared" si="0"/>
        <v>2.5545454545454545E-2</v>
      </c>
      <c r="E9">
        <f t="shared" si="3"/>
        <v>0.10911055093829161</v>
      </c>
      <c r="F9">
        <f t="shared" si="1"/>
        <v>0.13465600548374615</v>
      </c>
      <c r="G9" s="8">
        <v>445714</v>
      </c>
      <c r="H9" s="8">
        <v>33820000</v>
      </c>
      <c r="I9">
        <f t="shared" si="4"/>
        <v>1.3179006505026611E-2</v>
      </c>
      <c r="J9">
        <f t="shared" si="5"/>
        <v>0.13557980028502314</v>
      </c>
      <c r="K9">
        <f t="shared" si="2"/>
        <v>0.14875880679004977</v>
      </c>
    </row>
    <row r="10" spans="1:11" x14ac:dyDescent="0.35">
      <c r="A10">
        <v>2018</v>
      </c>
      <c r="B10">
        <v>320000</v>
      </c>
      <c r="C10">
        <v>12775000</v>
      </c>
      <c r="D10" s="6">
        <f t="shared" si="0"/>
        <v>2.5048923679060666E-2</v>
      </c>
      <c r="E10">
        <f t="shared" si="3"/>
        <v>0.16136363636363638</v>
      </c>
      <c r="F10">
        <f t="shared" si="1"/>
        <v>0.18641256004269705</v>
      </c>
      <c r="G10" s="8">
        <v>517857</v>
      </c>
      <c r="H10" s="8">
        <v>37750000</v>
      </c>
      <c r="I10">
        <f t="shared" si="4"/>
        <v>1.3718066225165563E-2</v>
      </c>
      <c r="J10">
        <f t="shared" si="5"/>
        <v>0.11620342992312241</v>
      </c>
      <c r="K10">
        <f t="shared" si="2"/>
        <v>0.12992149614828796</v>
      </c>
    </row>
    <row r="11" spans="1:11" x14ac:dyDescent="0.35">
      <c r="A11">
        <v>2019</v>
      </c>
      <c r="B11">
        <v>364928.57140000002</v>
      </c>
      <c r="C11">
        <v>14671428.57</v>
      </c>
      <c r="D11" s="6">
        <f t="shared" si="0"/>
        <v>2.4873417721993519E-2</v>
      </c>
      <c r="E11">
        <f t="shared" si="3"/>
        <v>0.1484484203522505</v>
      </c>
      <c r="F11">
        <f t="shared" si="1"/>
        <v>0.17332183807424403</v>
      </c>
      <c r="G11" s="8">
        <v>588571</v>
      </c>
      <c r="H11" s="8">
        <v>41325000</v>
      </c>
      <c r="I11">
        <f t="shared" si="4"/>
        <v>1.4242492437991531E-2</v>
      </c>
      <c r="J11">
        <f t="shared" si="5"/>
        <v>9.4701986754966883E-2</v>
      </c>
      <c r="K11">
        <f t="shared" si="2"/>
        <v>0.10894447919295841</v>
      </c>
    </row>
    <row r="12" spans="1:11" x14ac:dyDescent="0.35">
      <c r="A12">
        <v>2020</v>
      </c>
      <c r="B12">
        <v>427785.71429999999</v>
      </c>
      <c r="C12">
        <v>16782142.859999999</v>
      </c>
      <c r="D12" s="6">
        <f t="shared" si="0"/>
        <v>2.5490529896490227E-2</v>
      </c>
      <c r="E12">
        <f t="shared" si="3"/>
        <v>0.14386562834896446</v>
      </c>
      <c r="F12">
        <f t="shared" si="1"/>
        <v>0.16935615824545469</v>
      </c>
      <c r="G12" s="8">
        <v>705000</v>
      </c>
      <c r="H12" s="8">
        <v>46042857</v>
      </c>
      <c r="I12">
        <f t="shared" si="4"/>
        <v>1.5311821332025508E-2</v>
      </c>
      <c r="J12">
        <f t="shared" si="5"/>
        <v>0.11416471869328494</v>
      </c>
      <c r="K12">
        <f t="shared" si="2"/>
        <v>0.12947654002531045</v>
      </c>
    </row>
    <row r="13" spans="1:11" x14ac:dyDescent="0.35">
      <c r="A13">
        <v>2021</v>
      </c>
      <c r="B13">
        <v>501428.57140000002</v>
      </c>
      <c r="C13">
        <v>20035714.289999999</v>
      </c>
      <c r="D13" s="6">
        <f t="shared" si="0"/>
        <v>2.5026737961135102E-2</v>
      </c>
      <c r="E13">
        <f t="shared" si="3"/>
        <v>0.19387103644283957</v>
      </c>
      <c r="F13">
        <f t="shared" si="1"/>
        <v>0.21889777440397468</v>
      </c>
      <c r="G13" s="8">
        <v>808571</v>
      </c>
      <c r="H13" s="8">
        <v>50046429</v>
      </c>
      <c r="I13">
        <f t="shared" si="4"/>
        <v>1.6156417473862122E-2</v>
      </c>
      <c r="J13">
        <f t="shared" si="5"/>
        <v>8.695316192042557E-2</v>
      </c>
      <c r="K13">
        <f t="shared" si="2"/>
        <v>0.10310957939428769</v>
      </c>
    </row>
    <row r="14" spans="1:11" x14ac:dyDescent="0.35">
      <c r="A14">
        <v>2022</v>
      </c>
      <c r="B14">
        <v>657142.85710000002</v>
      </c>
      <c r="C14">
        <v>24467857.140000001</v>
      </c>
      <c r="D14" s="6">
        <f t="shared" si="0"/>
        <v>2.6857393082686604E-2</v>
      </c>
      <c r="E14">
        <f t="shared" si="3"/>
        <v>0.22121212080829697</v>
      </c>
      <c r="F14">
        <f t="shared" si="1"/>
        <v>0.24806951389098358</v>
      </c>
      <c r="G14" s="8">
        <v>1032143</v>
      </c>
      <c r="H14" s="8">
        <v>57335714</v>
      </c>
      <c r="I14">
        <f t="shared" si="4"/>
        <v>1.80017466949134E-2</v>
      </c>
      <c r="J14">
        <f t="shared" si="5"/>
        <v>0.14565045190337156</v>
      </c>
      <c r="K14">
        <f t="shared" si="2"/>
        <v>0.16365219859828495</v>
      </c>
    </row>
    <row r="15" spans="1:11" x14ac:dyDescent="0.35">
      <c r="A15">
        <v>2023</v>
      </c>
      <c r="B15">
        <v>732142.85710000002</v>
      </c>
      <c r="C15">
        <v>28828571.43</v>
      </c>
      <c r="D15" s="6">
        <f t="shared" si="0"/>
        <v>2.5396432108255877E-2</v>
      </c>
      <c r="E15">
        <f t="shared" si="3"/>
        <v>0.17822215754526016</v>
      </c>
      <c r="F15">
        <f t="shared" si="1"/>
        <v>0.20361858965351604</v>
      </c>
      <c r="G15" s="8">
        <v>1239286</v>
      </c>
      <c r="H15" s="8">
        <v>64910714</v>
      </c>
      <c r="I15">
        <f t="shared" si="4"/>
        <v>1.9092164045522594E-2</v>
      </c>
      <c r="J15">
        <f t="shared" si="5"/>
        <v>0.13211660711158144</v>
      </c>
      <c r="K15">
        <f t="shared" si="2"/>
        <v>0.15120877115710402</v>
      </c>
    </row>
    <row r="16" spans="1:11" x14ac:dyDescent="0.35">
      <c r="A16">
        <v>2024</v>
      </c>
      <c r="B16">
        <v>853571.42859999998</v>
      </c>
      <c r="C16">
        <v>36117857.140000001</v>
      </c>
      <c r="D16" s="6">
        <f t="shared" si="0"/>
        <v>2.3632947693751245E-2</v>
      </c>
      <c r="E16">
        <f t="shared" si="3"/>
        <v>0.25284935563662791</v>
      </c>
      <c r="F16">
        <f t="shared" si="1"/>
        <v>0.27648230333037915</v>
      </c>
      <c r="G16" s="8">
        <v>1637143</v>
      </c>
      <c r="H16" s="8">
        <v>80127143</v>
      </c>
      <c r="I16">
        <f t="shared" si="4"/>
        <v>2.0431815471069523E-2</v>
      </c>
      <c r="J16">
        <f t="shared" si="5"/>
        <v>0.23442091547475505</v>
      </c>
      <c r="K16">
        <f t="shared" si="2"/>
        <v>0.25485273094582456</v>
      </c>
    </row>
    <row r="17" spans="1:11" x14ac:dyDescent="0.35">
      <c r="A17">
        <v>2025</v>
      </c>
      <c r="B17">
        <v>1150000</v>
      </c>
      <c r="C17">
        <v>44692857.140000001</v>
      </c>
      <c r="D17" s="6">
        <f t="shared" si="0"/>
        <v>2.5731181078838497E-2</v>
      </c>
      <c r="E17">
        <f t="shared" si="3"/>
        <v>0.23741718581923602</v>
      </c>
      <c r="F17">
        <f t="shared" si="1"/>
        <v>0.26314836689807453</v>
      </c>
      <c r="G17" s="8">
        <v>2092857</v>
      </c>
      <c r="H17" s="8">
        <v>92485714</v>
      </c>
      <c r="I17">
        <f t="shared" si="4"/>
        <v>2.2628975973521707E-2</v>
      </c>
      <c r="J17">
        <f t="shared" si="5"/>
        <v>0.15423701054710012</v>
      </c>
      <c r="K17">
        <f t="shared" si="2"/>
        <v>0.17686598652062183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H22" sqref="H22"/>
    </sheetView>
  </sheetViews>
  <sheetFormatPr defaultRowHeight="14.5" x14ac:dyDescent="0.35"/>
  <cols>
    <col min="1" max="1" width="6" customWidth="1"/>
    <col min="2" max="2" width="7" customWidth="1"/>
    <col min="3" max="3" width="17" customWidth="1"/>
    <col min="4" max="4" width="21" customWidth="1"/>
    <col min="5" max="5" width="18" customWidth="1"/>
    <col min="6" max="6" width="12" customWidth="1"/>
    <col min="7" max="7" width="15" customWidth="1"/>
    <col min="8" max="8" width="13" customWidth="1"/>
  </cols>
  <sheetData>
    <row r="1" spans="1:8" ht="29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/>
      <c r="G1" s="1"/>
      <c r="H1" s="1"/>
    </row>
    <row r="2" spans="1:8" x14ac:dyDescent="0.35">
      <c r="A2">
        <v>2010</v>
      </c>
      <c r="B2">
        <v>6.25</v>
      </c>
      <c r="C2" s="10">
        <v>11.034000000000001</v>
      </c>
      <c r="D2">
        <v>2</v>
      </c>
      <c r="E2">
        <v>30</v>
      </c>
    </row>
    <row r="3" spans="1:8" x14ac:dyDescent="0.35">
      <c r="A3">
        <v>2011</v>
      </c>
      <c r="B3">
        <v>12</v>
      </c>
      <c r="C3" s="10">
        <v>12.641</v>
      </c>
      <c r="D3">
        <v>8</v>
      </c>
      <c r="E3">
        <v>30</v>
      </c>
    </row>
    <row r="4" spans="1:8" x14ac:dyDescent="0.35">
      <c r="A4">
        <v>2012</v>
      </c>
      <c r="B4">
        <v>12</v>
      </c>
      <c r="C4" s="10">
        <v>15.336</v>
      </c>
      <c r="D4">
        <v>12</v>
      </c>
      <c r="E4">
        <v>30</v>
      </c>
    </row>
    <row r="5" spans="1:8" x14ac:dyDescent="0.35">
      <c r="A5">
        <v>2013</v>
      </c>
      <c r="B5">
        <v>12</v>
      </c>
      <c r="C5" s="10">
        <v>16.440000000000001</v>
      </c>
      <c r="D5">
        <v>12</v>
      </c>
      <c r="E5">
        <v>30</v>
      </c>
    </row>
    <row r="6" spans="1:8" x14ac:dyDescent="0.35">
      <c r="A6">
        <v>2014</v>
      </c>
      <c r="B6">
        <v>13</v>
      </c>
      <c r="C6" s="10">
        <v>17.68</v>
      </c>
      <c r="D6">
        <v>15</v>
      </c>
      <c r="E6">
        <v>30</v>
      </c>
    </row>
    <row r="7" spans="1:8" x14ac:dyDescent="0.35">
      <c r="A7">
        <v>2015</v>
      </c>
      <c r="B7">
        <v>11</v>
      </c>
      <c r="C7" s="10">
        <v>18.724</v>
      </c>
      <c r="D7">
        <v>20</v>
      </c>
      <c r="E7">
        <v>30</v>
      </c>
    </row>
    <row r="8" spans="1:8" x14ac:dyDescent="0.35">
      <c r="A8">
        <v>2016</v>
      </c>
      <c r="B8">
        <v>14</v>
      </c>
      <c r="C8" s="10">
        <v>23.140999999999998</v>
      </c>
      <c r="D8">
        <v>22.5</v>
      </c>
      <c r="E8">
        <v>30</v>
      </c>
    </row>
    <row r="9" spans="1:8" x14ac:dyDescent="0.35">
      <c r="A9">
        <v>2017</v>
      </c>
      <c r="B9">
        <v>14</v>
      </c>
      <c r="C9" s="11">
        <v>21.853999999999999</v>
      </c>
      <c r="D9">
        <v>22.5</v>
      </c>
      <c r="E9">
        <v>30</v>
      </c>
    </row>
    <row r="10" spans="1:8" x14ac:dyDescent="0.35">
      <c r="A10">
        <v>2018</v>
      </c>
      <c r="B10">
        <v>14</v>
      </c>
      <c r="C10" s="10">
        <v>26.584</v>
      </c>
      <c r="D10">
        <v>22.5</v>
      </c>
      <c r="E10">
        <v>30</v>
      </c>
    </row>
    <row r="11" spans="1:8" x14ac:dyDescent="0.35">
      <c r="A11">
        <v>2019</v>
      </c>
      <c r="B11">
        <v>13.5</v>
      </c>
      <c r="C11" s="10">
        <v>27.027999999999999</v>
      </c>
      <c r="D11">
        <v>22.5</v>
      </c>
      <c r="E11">
        <v>30</v>
      </c>
    </row>
    <row r="12" spans="1:8" x14ac:dyDescent="0.35">
      <c r="A12">
        <v>2020</v>
      </c>
      <c r="B12">
        <v>11.5</v>
      </c>
      <c r="C12" s="10">
        <v>32.468000000000004</v>
      </c>
      <c r="D12">
        <v>27.5</v>
      </c>
      <c r="E12">
        <v>30</v>
      </c>
    </row>
    <row r="13" spans="1:8" x14ac:dyDescent="0.35">
      <c r="A13">
        <v>2021</v>
      </c>
      <c r="B13">
        <v>11.5</v>
      </c>
      <c r="C13" s="10">
        <v>41.701999999999998</v>
      </c>
      <c r="D13">
        <v>27.5</v>
      </c>
      <c r="E13">
        <v>30</v>
      </c>
    </row>
    <row r="14" spans="1:8" x14ac:dyDescent="0.35">
      <c r="A14">
        <v>2022</v>
      </c>
      <c r="B14">
        <v>16.5</v>
      </c>
      <c r="C14" s="10">
        <v>52.01</v>
      </c>
      <c r="D14">
        <v>32.5</v>
      </c>
      <c r="E14">
        <v>30</v>
      </c>
    </row>
    <row r="15" spans="1:8" x14ac:dyDescent="0.35">
      <c r="A15">
        <v>2023</v>
      </c>
      <c r="B15">
        <v>18.75</v>
      </c>
      <c r="C15" s="10">
        <v>78.369</v>
      </c>
      <c r="D15">
        <v>32.5</v>
      </c>
      <c r="E15">
        <v>30</v>
      </c>
    </row>
    <row r="16" spans="1:8" x14ac:dyDescent="0.35">
      <c r="A16">
        <v>2024</v>
      </c>
      <c r="B16">
        <v>26.75</v>
      </c>
      <c r="C16" s="10">
        <v>109.41</v>
      </c>
      <c r="D16">
        <v>50</v>
      </c>
      <c r="E16">
        <v>30</v>
      </c>
    </row>
    <row r="17" spans="1:5" x14ac:dyDescent="0.35">
      <c r="A17">
        <v>2025</v>
      </c>
      <c r="B17">
        <v>27</v>
      </c>
      <c r="C17" s="10">
        <v>115</v>
      </c>
      <c r="D17">
        <v>48</v>
      </c>
      <c r="E17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D1" sqref="D1"/>
    </sheetView>
  </sheetViews>
  <sheetFormatPr defaultRowHeight="14.5" x14ac:dyDescent="0.35"/>
  <cols>
    <col min="1" max="2" width="21" customWidth="1"/>
    <col min="3" max="3" width="22" customWidth="1"/>
    <col min="4" max="6" width="21" customWidth="1"/>
    <col min="7" max="7" width="18" customWidth="1"/>
    <col min="8" max="8" width="22" customWidth="1"/>
    <col min="9" max="9" width="21" customWidth="1"/>
    <col min="10" max="10" width="22" customWidth="1"/>
  </cols>
  <sheetData>
    <row r="1" spans="1:10" x14ac:dyDescent="0.35">
      <c r="A1" s="4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5" t="s">
        <v>1</v>
      </c>
      <c r="B2">
        <v>1</v>
      </c>
      <c r="C2">
        <v>0.64346804050439921</v>
      </c>
      <c r="D2">
        <v>0.56085903724835895</v>
      </c>
      <c r="E2">
        <v>0.79484064227650553</v>
      </c>
      <c r="F2">
        <v>0.87051675254676542</v>
      </c>
      <c r="H2">
        <v>0.69911823364766545</v>
      </c>
      <c r="I2">
        <v>0.6963766834742775</v>
      </c>
      <c r="J2">
        <v>-0.5472236795384029</v>
      </c>
    </row>
    <row r="3" spans="1:10" x14ac:dyDescent="0.35">
      <c r="A3" s="5" t="s">
        <v>2</v>
      </c>
      <c r="B3">
        <v>0.64346804050439921</v>
      </c>
      <c r="C3">
        <v>1</v>
      </c>
      <c r="D3">
        <v>0.69352805482824864</v>
      </c>
      <c r="E3">
        <v>0.5934051886361511</v>
      </c>
      <c r="F3">
        <v>0.54592648696627299</v>
      </c>
      <c r="H3">
        <v>0.5494340456770741</v>
      </c>
      <c r="I3">
        <v>0.57656123785987945</v>
      </c>
      <c r="J3">
        <v>-0.37844188038235071</v>
      </c>
    </row>
    <row r="4" spans="1:10" x14ac:dyDescent="0.35">
      <c r="A4" s="5" t="s">
        <v>3</v>
      </c>
      <c r="B4">
        <v>0.56085903724835895</v>
      </c>
      <c r="C4">
        <v>0.69352805482824864</v>
      </c>
      <c r="D4">
        <v>1</v>
      </c>
      <c r="E4">
        <v>0.69474386064192895</v>
      </c>
      <c r="F4">
        <v>0.7364663442698004</v>
      </c>
      <c r="H4">
        <v>0.59487161099378605</v>
      </c>
      <c r="I4">
        <v>0.71184771757647702</v>
      </c>
      <c r="J4">
        <v>-0.58520183417392824</v>
      </c>
    </row>
    <row r="5" spans="1:10" x14ac:dyDescent="0.35">
      <c r="A5" s="5" t="s">
        <v>4</v>
      </c>
      <c r="B5">
        <v>0.79484064227650553</v>
      </c>
      <c r="C5">
        <v>0.5934051886361511</v>
      </c>
      <c r="D5">
        <v>0.69474386064192895</v>
      </c>
      <c r="E5">
        <v>1</v>
      </c>
      <c r="F5">
        <v>0.82803425816269327</v>
      </c>
      <c r="H5">
        <v>0.90095256468671336</v>
      </c>
      <c r="I5">
        <v>0.97379611097231833</v>
      </c>
      <c r="J5">
        <v>-0.37162924564011929</v>
      </c>
    </row>
    <row r="6" spans="1:10" x14ac:dyDescent="0.35">
      <c r="A6" s="5" t="s">
        <v>5</v>
      </c>
      <c r="B6">
        <v>0.87051675254676542</v>
      </c>
      <c r="C6">
        <v>0.54592648696627299</v>
      </c>
      <c r="D6">
        <v>0.7364663442698004</v>
      </c>
      <c r="E6">
        <v>0.82803425816269327</v>
      </c>
      <c r="F6">
        <v>1</v>
      </c>
      <c r="H6">
        <v>0.6851121988333394</v>
      </c>
      <c r="I6">
        <v>0.74394845921809005</v>
      </c>
      <c r="J6">
        <v>-0.71799448820247547</v>
      </c>
    </row>
    <row r="7" spans="1:10" x14ac:dyDescent="0.35">
      <c r="A7" s="5" t="s">
        <v>6</v>
      </c>
    </row>
    <row r="8" spans="1:10" x14ac:dyDescent="0.35">
      <c r="A8" s="5" t="s">
        <v>7</v>
      </c>
      <c r="B8">
        <v>0.69911823364766545</v>
      </c>
      <c r="C8">
        <v>0.5494340456770741</v>
      </c>
      <c r="D8">
        <v>0.59487161099378605</v>
      </c>
      <c r="E8">
        <v>0.90095256468671336</v>
      </c>
      <c r="F8">
        <v>0.6851121988333394</v>
      </c>
      <c r="H8">
        <v>1</v>
      </c>
      <c r="I8">
        <v>0.91743228004271482</v>
      </c>
      <c r="J8">
        <v>-0.39274039195476651</v>
      </c>
    </row>
    <row r="9" spans="1:10" x14ac:dyDescent="0.35">
      <c r="A9" s="5" t="s">
        <v>8</v>
      </c>
      <c r="B9">
        <v>0.6963766834742775</v>
      </c>
      <c r="C9">
        <v>0.57656123785987945</v>
      </c>
      <c r="D9">
        <v>0.71184771757647702</v>
      </c>
      <c r="E9">
        <v>0.97379611097231833</v>
      </c>
      <c r="F9">
        <v>0.74394845921809005</v>
      </c>
      <c r="H9">
        <v>0.91743228004271482</v>
      </c>
      <c r="I9">
        <v>1</v>
      </c>
      <c r="J9">
        <v>-0.35011657819865122</v>
      </c>
    </row>
    <row r="10" spans="1:10" x14ac:dyDescent="0.35">
      <c r="A10" s="5" t="s">
        <v>9</v>
      </c>
      <c r="B10">
        <v>-0.5472236795384029</v>
      </c>
      <c r="C10">
        <v>-0.37844188038235071</v>
      </c>
      <c r="D10">
        <v>-0.58520183417392824</v>
      </c>
      <c r="E10">
        <v>-0.37162924564011929</v>
      </c>
      <c r="F10">
        <v>-0.71799448820247547</v>
      </c>
      <c r="H10">
        <v>-0.39274039195476651</v>
      </c>
      <c r="I10">
        <v>-0.35011657819865122</v>
      </c>
      <c r="J10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tabSelected="1" workbookViewId="0"/>
  </sheetViews>
  <sheetFormatPr defaultRowHeight="14.5" x14ac:dyDescent="0.35"/>
  <cols>
    <col min="1" max="1" width="4" customWidth="1"/>
    <col min="2" max="2" width="19" customWidth="1"/>
    <col min="3" max="3" width="20" customWidth="1"/>
    <col min="4" max="4" width="8" customWidth="1"/>
    <col min="5" max="5" width="11" customWidth="1"/>
    <col min="6" max="6" width="20" customWidth="1"/>
    <col min="7" max="7" width="10" customWidth="1"/>
    <col min="8" max="8" width="30" customWidth="1"/>
  </cols>
  <sheetData>
    <row r="1" spans="1:8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35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21</v>
      </c>
      <c r="H2" t="s">
        <v>31</v>
      </c>
    </row>
    <row r="3" spans="1:8" x14ac:dyDescent="0.35">
      <c r="A3">
        <v>2</v>
      </c>
      <c r="B3" t="s">
        <v>32</v>
      </c>
      <c r="C3" t="s">
        <v>27</v>
      </c>
      <c r="D3" t="s">
        <v>33</v>
      </c>
      <c r="E3" t="s">
        <v>34</v>
      </c>
      <c r="F3" t="s">
        <v>35</v>
      </c>
      <c r="G3">
        <v>11</v>
      </c>
      <c r="H3" t="s">
        <v>36</v>
      </c>
    </row>
    <row r="4" spans="1:8" x14ac:dyDescent="0.35">
      <c r="A4">
        <v>3</v>
      </c>
      <c r="B4" t="s">
        <v>37</v>
      </c>
      <c r="C4" t="s">
        <v>38</v>
      </c>
      <c r="D4" t="s">
        <v>28</v>
      </c>
      <c r="E4" t="s">
        <v>39</v>
      </c>
      <c r="F4" t="s">
        <v>40</v>
      </c>
      <c r="G4">
        <v>8</v>
      </c>
      <c r="H4" t="s">
        <v>41</v>
      </c>
    </row>
    <row r="5" spans="1:8" x14ac:dyDescent="0.35">
      <c r="A5">
        <v>4</v>
      </c>
      <c r="B5" t="s">
        <v>42</v>
      </c>
      <c r="C5" t="s">
        <v>27</v>
      </c>
      <c r="D5" t="s">
        <v>33</v>
      </c>
      <c r="E5" t="s">
        <v>43</v>
      </c>
      <c r="F5" t="s">
        <v>44</v>
      </c>
      <c r="G5">
        <v>25</v>
      </c>
      <c r="H5" t="s">
        <v>45</v>
      </c>
    </row>
    <row r="6" spans="1:8" x14ac:dyDescent="0.35">
      <c r="A6">
        <v>5</v>
      </c>
      <c r="B6" t="s">
        <v>32</v>
      </c>
      <c r="C6" t="s">
        <v>38</v>
      </c>
      <c r="D6" t="s">
        <v>28</v>
      </c>
      <c r="E6" t="s">
        <v>34</v>
      </c>
      <c r="F6" t="s">
        <v>46</v>
      </c>
      <c r="G6">
        <v>30</v>
      </c>
      <c r="H6" t="s">
        <v>45</v>
      </c>
    </row>
    <row r="7" spans="1:8" x14ac:dyDescent="0.35">
      <c r="A7">
        <v>6</v>
      </c>
      <c r="B7" t="s">
        <v>42</v>
      </c>
      <c r="C7" t="s">
        <v>27</v>
      </c>
      <c r="D7" t="s">
        <v>28</v>
      </c>
      <c r="E7" t="s">
        <v>47</v>
      </c>
      <c r="F7" t="s">
        <v>48</v>
      </c>
      <c r="G7">
        <v>29</v>
      </c>
      <c r="H7" t="s">
        <v>45</v>
      </c>
    </row>
    <row r="8" spans="1:8" x14ac:dyDescent="0.35">
      <c r="A8">
        <v>7</v>
      </c>
      <c r="B8" t="s">
        <v>37</v>
      </c>
      <c r="C8" t="s">
        <v>38</v>
      </c>
      <c r="D8" t="s">
        <v>33</v>
      </c>
      <c r="E8" t="s">
        <v>29</v>
      </c>
      <c r="F8" t="s">
        <v>49</v>
      </c>
      <c r="G8">
        <v>19</v>
      </c>
      <c r="H8" t="s">
        <v>41</v>
      </c>
    </row>
    <row r="9" spans="1:8" x14ac:dyDescent="0.35">
      <c r="A9">
        <v>8</v>
      </c>
      <c r="B9" t="s">
        <v>37</v>
      </c>
      <c r="C9" t="s">
        <v>38</v>
      </c>
      <c r="D9" t="s">
        <v>33</v>
      </c>
      <c r="E9" t="s">
        <v>47</v>
      </c>
      <c r="F9" t="s">
        <v>50</v>
      </c>
      <c r="G9">
        <v>8</v>
      </c>
      <c r="H9" t="s">
        <v>41</v>
      </c>
    </row>
    <row r="10" spans="1:8" x14ac:dyDescent="0.35">
      <c r="A10">
        <v>9</v>
      </c>
      <c r="B10" t="s">
        <v>32</v>
      </c>
      <c r="C10" t="s">
        <v>27</v>
      </c>
      <c r="D10" t="s">
        <v>28</v>
      </c>
      <c r="E10" t="s">
        <v>39</v>
      </c>
      <c r="F10" t="s">
        <v>46</v>
      </c>
      <c r="G10">
        <v>16</v>
      </c>
      <c r="H10" t="s">
        <v>36</v>
      </c>
    </row>
    <row r="11" spans="1:8" x14ac:dyDescent="0.35">
      <c r="A11">
        <v>10</v>
      </c>
      <c r="B11" t="s">
        <v>32</v>
      </c>
      <c r="C11" t="s">
        <v>38</v>
      </c>
      <c r="D11" t="s">
        <v>28</v>
      </c>
      <c r="E11" t="s">
        <v>47</v>
      </c>
      <c r="F11" t="s">
        <v>35</v>
      </c>
      <c r="G11">
        <v>7</v>
      </c>
      <c r="H11" t="s">
        <v>51</v>
      </c>
    </row>
    <row r="12" spans="1:8" x14ac:dyDescent="0.35">
      <c r="A12">
        <v>11</v>
      </c>
      <c r="B12" t="s">
        <v>37</v>
      </c>
      <c r="C12" t="s">
        <v>27</v>
      </c>
      <c r="D12" t="s">
        <v>33</v>
      </c>
      <c r="E12" t="s">
        <v>34</v>
      </c>
      <c r="F12" t="s">
        <v>49</v>
      </c>
      <c r="G12">
        <v>16</v>
      </c>
      <c r="H12" t="s">
        <v>36</v>
      </c>
    </row>
    <row r="13" spans="1:8" x14ac:dyDescent="0.35">
      <c r="A13">
        <v>12</v>
      </c>
      <c r="B13" t="s">
        <v>37</v>
      </c>
      <c r="C13" t="s">
        <v>38</v>
      </c>
      <c r="D13" t="s">
        <v>28</v>
      </c>
      <c r="E13" t="s">
        <v>29</v>
      </c>
      <c r="F13" t="s">
        <v>40</v>
      </c>
      <c r="G13">
        <v>8</v>
      </c>
      <c r="H13" t="s">
        <v>36</v>
      </c>
    </row>
    <row r="14" spans="1:8" x14ac:dyDescent="0.35">
      <c r="A14">
        <v>13</v>
      </c>
      <c r="B14" t="s">
        <v>32</v>
      </c>
      <c r="C14" t="s">
        <v>27</v>
      </c>
      <c r="D14" t="s">
        <v>28</v>
      </c>
      <c r="E14" t="s">
        <v>47</v>
      </c>
      <c r="F14" t="s">
        <v>35</v>
      </c>
      <c r="G14">
        <v>20</v>
      </c>
      <c r="H14" t="s">
        <v>36</v>
      </c>
    </row>
    <row r="15" spans="1:8" x14ac:dyDescent="0.35">
      <c r="A15">
        <v>14</v>
      </c>
      <c r="B15" t="s">
        <v>32</v>
      </c>
      <c r="C15" t="s">
        <v>27</v>
      </c>
      <c r="D15" t="s">
        <v>33</v>
      </c>
      <c r="E15" t="s">
        <v>29</v>
      </c>
      <c r="F15" t="s">
        <v>46</v>
      </c>
      <c r="G15">
        <v>30</v>
      </c>
      <c r="H15" t="s">
        <v>36</v>
      </c>
    </row>
    <row r="16" spans="1:8" x14ac:dyDescent="0.35">
      <c r="A16">
        <v>15</v>
      </c>
      <c r="B16" t="s">
        <v>42</v>
      </c>
      <c r="C16" t="s">
        <v>27</v>
      </c>
      <c r="D16" t="s">
        <v>28</v>
      </c>
      <c r="E16" t="s">
        <v>47</v>
      </c>
      <c r="F16" t="s">
        <v>44</v>
      </c>
      <c r="G16">
        <v>34</v>
      </c>
      <c r="H16" t="s">
        <v>36</v>
      </c>
    </row>
    <row r="17" spans="1:8" x14ac:dyDescent="0.35">
      <c r="A17">
        <v>16</v>
      </c>
      <c r="B17" t="s">
        <v>26</v>
      </c>
      <c r="C17" t="s">
        <v>27</v>
      </c>
      <c r="D17" t="s">
        <v>28</v>
      </c>
      <c r="E17" t="s">
        <v>34</v>
      </c>
      <c r="F17" t="s">
        <v>46</v>
      </c>
      <c r="G17">
        <v>23</v>
      </c>
      <c r="H17" t="s">
        <v>45</v>
      </c>
    </row>
    <row r="18" spans="1:8" x14ac:dyDescent="0.35">
      <c r="A18">
        <v>17</v>
      </c>
      <c r="B18" t="s">
        <v>37</v>
      </c>
      <c r="C18" t="s">
        <v>27</v>
      </c>
      <c r="D18" t="s">
        <v>33</v>
      </c>
      <c r="E18" t="s">
        <v>47</v>
      </c>
      <c r="F18" t="s">
        <v>49</v>
      </c>
      <c r="G18">
        <v>23</v>
      </c>
      <c r="H18" t="s">
        <v>52</v>
      </c>
    </row>
    <row r="19" spans="1:8" x14ac:dyDescent="0.35">
      <c r="A19">
        <v>18</v>
      </c>
      <c r="B19" t="s">
        <v>53</v>
      </c>
      <c r="C19" t="s">
        <v>38</v>
      </c>
      <c r="D19" t="s">
        <v>28</v>
      </c>
      <c r="E19" t="s">
        <v>34</v>
      </c>
      <c r="F19" t="s">
        <v>48</v>
      </c>
      <c r="G19">
        <v>31</v>
      </c>
      <c r="H19" t="s">
        <v>41</v>
      </c>
    </row>
    <row r="20" spans="1:8" x14ac:dyDescent="0.35">
      <c r="A20">
        <v>19</v>
      </c>
      <c r="B20" t="s">
        <v>37</v>
      </c>
      <c r="C20" t="s">
        <v>38</v>
      </c>
      <c r="D20" t="s">
        <v>33</v>
      </c>
      <c r="E20" t="s">
        <v>29</v>
      </c>
      <c r="F20" t="s">
        <v>40</v>
      </c>
      <c r="G20">
        <v>12</v>
      </c>
      <c r="H20" t="s">
        <v>36</v>
      </c>
    </row>
    <row r="21" spans="1:8" x14ac:dyDescent="0.35">
      <c r="A21">
        <v>20</v>
      </c>
      <c r="B21" t="s">
        <v>37</v>
      </c>
      <c r="C21" t="s">
        <v>27</v>
      </c>
      <c r="D21" t="s">
        <v>28</v>
      </c>
      <c r="E21" t="s">
        <v>34</v>
      </c>
      <c r="F21" t="s">
        <v>49</v>
      </c>
      <c r="G21">
        <v>15</v>
      </c>
      <c r="H21" t="s">
        <v>52</v>
      </c>
    </row>
    <row r="22" spans="1:8" x14ac:dyDescent="0.35">
      <c r="A22">
        <v>21</v>
      </c>
      <c r="B22" t="s">
        <v>37</v>
      </c>
      <c r="C22" t="s">
        <v>38</v>
      </c>
      <c r="D22" t="s">
        <v>28</v>
      </c>
      <c r="E22" t="s">
        <v>43</v>
      </c>
      <c r="F22" t="s">
        <v>40</v>
      </c>
      <c r="G22">
        <v>31</v>
      </c>
      <c r="H22" t="s">
        <v>31</v>
      </c>
    </row>
    <row r="23" spans="1:8" x14ac:dyDescent="0.35">
      <c r="A23">
        <v>22</v>
      </c>
      <c r="B23" t="s">
        <v>26</v>
      </c>
      <c r="C23" t="s">
        <v>38</v>
      </c>
      <c r="D23" t="s">
        <v>33</v>
      </c>
      <c r="E23" t="s">
        <v>47</v>
      </c>
      <c r="F23" t="s">
        <v>30</v>
      </c>
      <c r="G23">
        <v>16</v>
      </c>
      <c r="H23" t="s">
        <v>41</v>
      </c>
    </row>
    <row r="24" spans="1:8" x14ac:dyDescent="0.35">
      <c r="A24">
        <v>23</v>
      </c>
      <c r="B24" t="s">
        <v>42</v>
      </c>
      <c r="C24" t="s">
        <v>38</v>
      </c>
      <c r="D24" t="s">
        <v>28</v>
      </c>
      <c r="E24" t="s">
        <v>29</v>
      </c>
      <c r="F24" t="s">
        <v>48</v>
      </c>
      <c r="G24">
        <v>24</v>
      </c>
      <c r="H24" t="s">
        <v>31</v>
      </c>
    </row>
    <row r="25" spans="1:8" x14ac:dyDescent="0.35">
      <c r="A25">
        <v>24</v>
      </c>
      <c r="B25" t="s">
        <v>32</v>
      </c>
      <c r="C25" t="s">
        <v>27</v>
      </c>
      <c r="D25" t="s">
        <v>28</v>
      </c>
      <c r="E25" t="s">
        <v>39</v>
      </c>
      <c r="F25" t="s">
        <v>30</v>
      </c>
      <c r="G25">
        <v>15</v>
      </c>
      <c r="H25" t="s">
        <v>31</v>
      </c>
    </row>
    <row r="26" spans="1:8" x14ac:dyDescent="0.35">
      <c r="A26">
        <v>25</v>
      </c>
      <c r="B26" t="s">
        <v>53</v>
      </c>
      <c r="C26" t="s">
        <v>27</v>
      </c>
      <c r="D26" t="s">
        <v>33</v>
      </c>
      <c r="E26" t="s">
        <v>34</v>
      </c>
      <c r="F26" t="s">
        <v>44</v>
      </c>
      <c r="G26">
        <v>6</v>
      </c>
      <c r="H26" t="s">
        <v>41</v>
      </c>
    </row>
    <row r="27" spans="1:8" x14ac:dyDescent="0.35">
      <c r="A27">
        <v>26</v>
      </c>
      <c r="B27" t="s">
        <v>32</v>
      </c>
      <c r="C27" t="s">
        <v>27</v>
      </c>
      <c r="D27" t="s">
        <v>28</v>
      </c>
      <c r="E27" t="s">
        <v>34</v>
      </c>
      <c r="F27" t="s">
        <v>46</v>
      </c>
      <c r="G27">
        <v>2</v>
      </c>
      <c r="H27" t="s">
        <v>36</v>
      </c>
    </row>
    <row r="28" spans="1:8" x14ac:dyDescent="0.35">
      <c r="A28">
        <v>27</v>
      </c>
      <c r="B28" t="s">
        <v>42</v>
      </c>
      <c r="C28" t="s">
        <v>38</v>
      </c>
      <c r="D28" t="s">
        <v>28</v>
      </c>
      <c r="E28" t="s">
        <v>29</v>
      </c>
      <c r="F28" t="s">
        <v>54</v>
      </c>
      <c r="G28">
        <v>33</v>
      </c>
      <c r="H28" t="s">
        <v>31</v>
      </c>
    </row>
    <row r="29" spans="1:8" x14ac:dyDescent="0.35">
      <c r="A29">
        <v>28</v>
      </c>
      <c r="B29" t="s">
        <v>53</v>
      </c>
      <c r="C29" t="s">
        <v>38</v>
      </c>
      <c r="D29" t="s">
        <v>28</v>
      </c>
      <c r="E29" t="s">
        <v>47</v>
      </c>
      <c r="F29" t="s">
        <v>44</v>
      </c>
      <c r="G29">
        <v>30</v>
      </c>
      <c r="H29" t="s">
        <v>52</v>
      </c>
    </row>
    <row r="30" spans="1:8" x14ac:dyDescent="0.35">
      <c r="A30">
        <v>29</v>
      </c>
      <c r="B30" t="s">
        <v>26</v>
      </c>
      <c r="C30" t="s">
        <v>27</v>
      </c>
      <c r="D30" t="s">
        <v>33</v>
      </c>
      <c r="E30" t="s">
        <v>34</v>
      </c>
      <c r="F30" t="s">
        <v>35</v>
      </c>
      <c r="G30">
        <v>12</v>
      </c>
      <c r="H30" t="s">
        <v>36</v>
      </c>
    </row>
    <row r="31" spans="1:8" x14ac:dyDescent="0.35">
      <c r="A31">
        <v>30</v>
      </c>
      <c r="B31" t="s">
        <v>32</v>
      </c>
      <c r="C31" t="s">
        <v>38</v>
      </c>
      <c r="D31" t="s">
        <v>28</v>
      </c>
      <c r="E31" t="s">
        <v>47</v>
      </c>
      <c r="F31" t="s">
        <v>46</v>
      </c>
      <c r="G31">
        <v>19</v>
      </c>
      <c r="H31" t="s">
        <v>52</v>
      </c>
    </row>
    <row r="32" spans="1:8" x14ac:dyDescent="0.35">
      <c r="A32">
        <v>31</v>
      </c>
      <c r="B32" t="s">
        <v>26</v>
      </c>
      <c r="C32" t="s">
        <v>38</v>
      </c>
      <c r="D32" t="s">
        <v>33</v>
      </c>
      <c r="E32" t="s">
        <v>43</v>
      </c>
      <c r="F32" t="s">
        <v>30</v>
      </c>
      <c r="G32">
        <v>21</v>
      </c>
      <c r="H32" t="s">
        <v>41</v>
      </c>
    </row>
    <row r="33" spans="1:8" x14ac:dyDescent="0.35">
      <c r="A33">
        <v>32</v>
      </c>
      <c r="B33" t="s">
        <v>32</v>
      </c>
      <c r="C33" t="s">
        <v>38</v>
      </c>
      <c r="D33" t="s">
        <v>33</v>
      </c>
      <c r="E33" t="s">
        <v>34</v>
      </c>
      <c r="F33" t="s">
        <v>30</v>
      </c>
      <c r="G33">
        <v>29</v>
      </c>
      <c r="H33" t="s">
        <v>36</v>
      </c>
    </row>
    <row r="34" spans="1:8" x14ac:dyDescent="0.35">
      <c r="A34">
        <v>33</v>
      </c>
      <c r="B34" t="s">
        <v>53</v>
      </c>
      <c r="C34" t="s">
        <v>27</v>
      </c>
      <c r="D34" t="s">
        <v>28</v>
      </c>
      <c r="E34" t="s">
        <v>34</v>
      </c>
      <c r="F34" t="s">
        <v>54</v>
      </c>
      <c r="G34">
        <v>30</v>
      </c>
      <c r="H34" t="s">
        <v>36</v>
      </c>
    </row>
    <row r="35" spans="1:8" x14ac:dyDescent="0.35">
      <c r="A35">
        <v>34</v>
      </c>
      <c r="B35" t="s">
        <v>53</v>
      </c>
      <c r="C35" t="s">
        <v>27</v>
      </c>
      <c r="D35" t="s">
        <v>33</v>
      </c>
      <c r="E35" t="s">
        <v>39</v>
      </c>
      <c r="F35" t="s">
        <v>44</v>
      </c>
      <c r="G35">
        <v>14</v>
      </c>
      <c r="H35" t="s">
        <v>41</v>
      </c>
    </row>
    <row r="36" spans="1:8" x14ac:dyDescent="0.35">
      <c r="A36">
        <v>35</v>
      </c>
      <c r="B36" t="s">
        <v>37</v>
      </c>
      <c r="C36" t="s">
        <v>27</v>
      </c>
      <c r="D36" t="s">
        <v>28</v>
      </c>
      <c r="E36" t="s">
        <v>29</v>
      </c>
      <c r="F36" t="s">
        <v>40</v>
      </c>
      <c r="G36">
        <v>7</v>
      </c>
      <c r="H36" t="s">
        <v>52</v>
      </c>
    </row>
    <row r="37" spans="1:8" x14ac:dyDescent="0.35">
      <c r="A37">
        <v>36</v>
      </c>
      <c r="B37" t="s">
        <v>37</v>
      </c>
      <c r="C37" t="s">
        <v>38</v>
      </c>
      <c r="D37" t="s">
        <v>28</v>
      </c>
      <c r="E37" t="s">
        <v>29</v>
      </c>
      <c r="F37" t="s">
        <v>50</v>
      </c>
      <c r="G37">
        <v>9</v>
      </c>
      <c r="H37" t="s">
        <v>41</v>
      </c>
    </row>
    <row r="38" spans="1:8" x14ac:dyDescent="0.35">
      <c r="A38">
        <v>37</v>
      </c>
      <c r="B38" t="s">
        <v>32</v>
      </c>
      <c r="C38" t="s">
        <v>38</v>
      </c>
      <c r="D38" t="s">
        <v>33</v>
      </c>
      <c r="E38" t="s">
        <v>39</v>
      </c>
      <c r="F38" t="s">
        <v>35</v>
      </c>
      <c r="G38">
        <v>18</v>
      </c>
      <c r="H38" t="s">
        <v>52</v>
      </c>
    </row>
    <row r="39" spans="1:8" x14ac:dyDescent="0.35">
      <c r="A39">
        <v>38</v>
      </c>
      <c r="B39" t="s">
        <v>32</v>
      </c>
      <c r="C39" t="s">
        <v>38</v>
      </c>
      <c r="D39" t="s">
        <v>33</v>
      </c>
      <c r="E39" t="s">
        <v>29</v>
      </c>
      <c r="F39" t="s">
        <v>46</v>
      </c>
      <c r="G39">
        <v>1</v>
      </c>
      <c r="H39" t="s">
        <v>51</v>
      </c>
    </row>
    <row r="40" spans="1:8" x14ac:dyDescent="0.35">
      <c r="A40">
        <v>39</v>
      </c>
      <c r="B40" t="s">
        <v>26</v>
      </c>
      <c r="C40" t="s">
        <v>38</v>
      </c>
      <c r="D40" t="s">
        <v>33</v>
      </c>
      <c r="E40" t="s">
        <v>29</v>
      </c>
      <c r="F40" t="s">
        <v>35</v>
      </c>
      <c r="G40">
        <v>31</v>
      </c>
      <c r="H40" t="s">
        <v>45</v>
      </c>
    </row>
    <row r="41" spans="1:8" x14ac:dyDescent="0.35">
      <c r="A41">
        <v>40</v>
      </c>
      <c r="B41" t="s">
        <v>32</v>
      </c>
      <c r="C41" t="s">
        <v>27</v>
      </c>
      <c r="D41" t="s">
        <v>33</v>
      </c>
      <c r="E41" t="s">
        <v>43</v>
      </c>
      <c r="F41" t="s">
        <v>30</v>
      </c>
      <c r="G41">
        <v>12</v>
      </c>
      <c r="H41" t="s">
        <v>51</v>
      </c>
    </row>
    <row r="42" spans="1:8" x14ac:dyDescent="0.35">
      <c r="A42">
        <v>41</v>
      </c>
      <c r="B42" t="s">
        <v>42</v>
      </c>
      <c r="C42" t="s">
        <v>38</v>
      </c>
      <c r="D42" t="s">
        <v>33</v>
      </c>
      <c r="E42" t="s">
        <v>34</v>
      </c>
      <c r="F42" t="s">
        <v>54</v>
      </c>
      <c r="G42">
        <v>24</v>
      </c>
      <c r="H42" t="s">
        <v>41</v>
      </c>
    </row>
    <row r="43" spans="1:8" x14ac:dyDescent="0.35">
      <c r="A43">
        <v>42</v>
      </c>
      <c r="B43" t="s">
        <v>53</v>
      </c>
      <c r="C43" t="s">
        <v>27</v>
      </c>
      <c r="D43" t="s">
        <v>28</v>
      </c>
      <c r="E43" t="s">
        <v>29</v>
      </c>
      <c r="F43" t="s">
        <v>44</v>
      </c>
      <c r="G43">
        <v>24</v>
      </c>
      <c r="H43" t="s">
        <v>31</v>
      </c>
    </row>
    <row r="44" spans="1:8" x14ac:dyDescent="0.35">
      <c r="A44">
        <v>43</v>
      </c>
      <c r="B44" t="s">
        <v>26</v>
      </c>
      <c r="C44" t="s">
        <v>38</v>
      </c>
      <c r="D44" t="s">
        <v>33</v>
      </c>
      <c r="E44" t="s">
        <v>34</v>
      </c>
      <c r="F44" t="s">
        <v>35</v>
      </c>
      <c r="G44">
        <v>29</v>
      </c>
      <c r="H44" t="s">
        <v>51</v>
      </c>
    </row>
    <row r="45" spans="1:8" x14ac:dyDescent="0.35">
      <c r="A45">
        <v>44</v>
      </c>
      <c r="B45" t="s">
        <v>32</v>
      </c>
      <c r="C45" t="s">
        <v>27</v>
      </c>
      <c r="D45" t="s">
        <v>33</v>
      </c>
      <c r="E45" t="s">
        <v>29</v>
      </c>
      <c r="F45" t="s">
        <v>35</v>
      </c>
      <c r="G45">
        <v>12</v>
      </c>
      <c r="H45" t="s">
        <v>45</v>
      </c>
    </row>
    <row r="46" spans="1:8" x14ac:dyDescent="0.35">
      <c r="A46">
        <v>45</v>
      </c>
      <c r="B46" t="s">
        <v>42</v>
      </c>
      <c r="C46" t="s">
        <v>38</v>
      </c>
      <c r="D46" t="s">
        <v>33</v>
      </c>
      <c r="E46" t="s">
        <v>39</v>
      </c>
      <c r="F46" t="s">
        <v>44</v>
      </c>
      <c r="G46">
        <v>16</v>
      </c>
      <c r="H46" t="s">
        <v>31</v>
      </c>
    </row>
    <row r="47" spans="1:8" x14ac:dyDescent="0.35">
      <c r="A47">
        <v>46</v>
      </c>
      <c r="B47" t="s">
        <v>53</v>
      </c>
      <c r="C47" t="s">
        <v>38</v>
      </c>
      <c r="D47" t="s">
        <v>28</v>
      </c>
      <c r="E47" t="s">
        <v>34</v>
      </c>
      <c r="F47" t="s">
        <v>48</v>
      </c>
      <c r="G47">
        <v>20</v>
      </c>
      <c r="H47" t="s">
        <v>41</v>
      </c>
    </row>
    <row r="48" spans="1:8" x14ac:dyDescent="0.35">
      <c r="A48">
        <v>47</v>
      </c>
      <c r="B48" t="s">
        <v>37</v>
      </c>
      <c r="C48" t="s">
        <v>27</v>
      </c>
      <c r="D48" t="s">
        <v>28</v>
      </c>
      <c r="E48" t="s">
        <v>47</v>
      </c>
      <c r="F48" t="s">
        <v>50</v>
      </c>
      <c r="G48">
        <v>31</v>
      </c>
      <c r="H48" t="s">
        <v>31</v>
      </c>
    </row>
    <row r="49" spans="1:8" x14ac:dyDescent="0.35">
      <c r="A49">
        <v>48</v>
      </c>
      <c r="B49" t="s">
        <v>42</v>
      </c>
      <c r="C49" t="s">
        <v>38</v>
      </c>
      <c r="D49" t="s">
        <v>33</v>
      </c>
      <c r="E49" t="s">
        <v>43</v>
      </c>
      <c r="F49" t="s">
        <v>44</v>
      </c>
      <c r="G49">
        <v>22</v>
      </c>
      <c r="H49" t="s">
        <v>31</v>
      </c>
    </row>
    <row r="50" spans="1:8" x14ac:dyDescent="0.35">
      <c r="A50">
        <v>49</v>
      </c>
      <c r="B50" t="s">
        <v>32</v>
      </c>
      <c r="C50" t="s">
        <v>38</v>
      </c>
      <c r="D50" t="s">
        <v>33</v>
      </c>
      <c r="E50" t="s">
        <v>47</v>
      </c>
      <c r="F50" t="s">
        <v>35</v>
      </c>
      <c r="G50">
        <v>20</v>
      </c>
      <c r="H50" t="s">
        <v>45</v>
      </c>
    </row>
    <row r="51" spans="1:8" x14ac:dyDescent="0.35">
      <c r="A51">
        <v>50</v>
      </c>
      <c r="B51" t="s">
        <v>37</v>
      </c>
      <c r="C51" t="s">
        <v>38</v>
      </c>
      <c r="D51" t="s">
        <v>33</v>
      </c>
      <c r="E51" t="s">
        <v>39</v>
      </c>
      <c r="F51" t="s">
        <v>50</v>
      </c>
      <c r="G51">
        <v>29</v>
      </c>
      <c r="H51" t="s">
        <v>45</v>
      </c>
    </row>
    <row r="52" spans="1:8" x14ac:dyDescent="0.35">
      <c r="A52">
        <v>51</v>
      </c>
      <c r="B52" t="s">
        <v>37</v>
      </c>
      <c r="C52" t="s">
        <v>27</v>
      </c>
      <c r="D52" t="s">
        <v>28</v>
      </c>
      <c r="E52" t="s">
        <v>34</v>
      </c>
      <c r="F52" t="s">
        <v>40</v>
      </c>
      <c r="G52">
        <v>4</v>
      </c>
      <c r="H52" t="s">
        <v>31</v>
      </c>
    </row>
    <row r="53" spans="1:8" x14ac:dyDescent="0.35">
      <c r="A53">
        <v>52</v>
      </c>
      <c r="B53" t="s">
        <v>26</v>
      </c>
      <c r="C53" t="s">
        <v>38</v>
      </c>
      <c r="D53" t="s">
        <v>28</v>
      </c>
      <c r="E53" t="s">
        <v>39</v>
      </c>
      <c r="F53" t="s">
        <v>35</v>
      </c>
      <c r="G53">
        <v>31</v>
      </c>
      <c r="H53" t="s">
        <v>52</v>
      </c>
    </row>
    <row r="54" spans="1:8" x14ac:dyDescent="0.35">
      <c r="A54">
        <v>53</v>
      </c>
      <c r="B54" t="s">
        <v>53</v>
      </c>
      <c r="C54" t="s">
        <v>27</v>
      </c>
      <c r="D54" t="s">
        <v>28</v>
      </c>
      <c r="E54" t="s">
        <v>29</v>
      </c>
      <c r="F54" t="s">
        <v>48</v>
      </c>
      <c r="G54">
        <v>14</v>
      </c>
      <c r="H54" t="s">
        <v>41</v>
      </c>
    </row>
    <row r="55" spans="1:8" x14ac:dyDescent="0.35">
      <c r="A55">
        <v>54</v>
      </c>
      <c r="B55" t="s">
        <v>32</v>
      </c>
      <c r="C55" t="s">
        <v>38</v>
      </c>
      <c r="D55" t="s">
        <v>28</v>
      </c>
      <c r="E55" t="s">
        <v>29</v>
      </c>
      <c r="F55" t="s">
        <v>46</v>
      </c>
      <c r="G55">
        <v>24</v>
      </c>
      <c r="H55" t="s">
        <v>41</v>
      </c>
    </row>
    <row r="56" spans="1:8" x14ac:dyDescent="0.35">
      <c r="A56">
        <v>55</v>
      </c>
      <c r="B56" t="s">
        <v>42</v>
      </c>
      <c r="C56" t="s">
        <v>38</v>
      </c>
      <c r="D56" t="s">
        <v>28</v>
      </c>
      <c r="E56" t="s">
        <v>39</v>
      </c>
      <c r="F56" t="s">
        <v>48</v>
      </c>
      <c r="G56">
        <v>14</v>
      </c>
      <c r="H56" t="s">
        <v>45</v>
      </c>
    </row>
    <row r="57" spans="1:8" x14ac:dyDescent="0.35">
      <c r="A57">
        <v>56</v>
      </c>
      <c r="B57" t="s">
        <v>42</v>
      </c>
      <c r="C57" t="s">
        <v>38</v>
      </c>
      <c r="D57" t="s">
        <v>33</v>
      </c>
      <c r="E57" t="s">
        <v>29</v>
      </c>
      <c r="F57" t="s">
        <v>48</v>
      </c>
      <c r="G57">
        <v>8</v>
      </c>
      <c r="H57" t="s">
        <v>41</v>
      </c>
    </row>
    <row r="58" spans="1:8" x14ac:dyDescent="0.35">
      <c r="A58">
        <v>57</v>
      </c>
      <c r="B58" t="s">
        <v>37</v>
      </c>
      <c r="C58" t="s">
        <v>27</v>
      </c>
      <c r="D58" t="s">
        <v>33</v>
      </c>
      <c r="E58" t="s">
        <v>39</v>
      </c>
      <c r="F58" t="s">
        <v>49</v>
      </c>
      <c r="G58">
        <v>28</v>
      </c>
      <c r="H58" t="s">
        <v>51</v>
      </c>
    </row>
    <row r="59" spans="1:8" x14ac:dyDescent="0.35">
      <c r="A59">
        <v>58</v>
      </c>
      <c r="B59" t="s">
        <v>37</v>
      </c>
      <c r="C59" t="s">
        <v>27</v>
      </c>
      <c r="D59" t="s">
        <v>33</v>
      </c>
      <c r="E59" t="s">
        <v>29</v>
      </c>
      <c r="F59" t="s">
        <v>49</v>
      </c>
      <c r="G59">
        <v>2</v>
      </c>
      <c r="H59" t="s">
        <v>52</v>
      </c>
    </row>
    <row r="60" spans="1:8" x14ac:dyDescent="0.35">
      <c r="A60">
        <v>59</v>
      </c>
      <c r="B60" t="s">
        <v>26</v>
      </c>
      <c r="C60" t="s">
        <v>38</v>
      </c>
      <c r="D60" t="s">
        <v>33</v>
      </c>
      <c r="E60" t="s">
        <v>47</v>
      </c>
      <c r="F60" t="s">
        <v>30</v>
      </c>
      <c r="G60">
        <v>16</v>
      </c>
      <c r="H60" t="s">
        <v>31</v>
      </c>
    </row>
    <row r="61" spans="1:8" x14ac:dyDescent="0.35">
      <c r="A61">
        <v>60</v>
      </c>
      <c r="B61" t="s">
        <v>42</v>
      </c>
      <c r="C61" t="s">
        <v>27</v>
      </c>
      <c r="D61" t="s">
        <v>28</v>
      </c>
      <c r="E61" t="s">
        <v>39</v>
      </c>
      <c r="F61" t="s">
        <v>44</v>
      </c>
      <c r="G61">
        <v>12</v>
      </c>
      <c r="H61" t="s">
        <v>36</v>
      </c>
    </row>
    <row r="62" spans="1:8" x14ac:dyDescent="0.35">
      <c r="A62">
        <v>61</v>
      </c>
      <c r="B62" t="s">
        <v>32</v>
      </c>
      <c r="C62" t="s">
        <v>27</v>
      </c>
      <c r="D62" t="s">
        <v>28</v>
      </c>
      <c r="E62" t="s">
        <v>47</v>
      </c>
      <c r="F62" t="s">
        <v>46</v>
      </c>
      <c r="G62">
        <v>19</v>
      </c>
      <c r="H62" t="s">
        <v>52</v>
      </c>
    </row>
    <row r="63" spans="1:8" x14ac:dyDescent="0.35">
      <c r="A63">
        <v>62</v>
      </c>
      <c r="B63" t="s">
        <v>37</v>
      </c>
      <c r="C63" t="s">
        <v>27</v>
      </c>
      <c r="D63" t="s">
        <v>28</v>
      </c>
      <c r="E63" t="s">
        <v>39</v>
      </c>
      <c r="F63" t="s">
        <v>40</v>
      </c>
      <c r="G63">
        <v>17</v>
      </c>
      <c r="H63" t="s">
        <v>41</v>
      </c>
    </row>
    <row r="64" spans="1:8" x14ac:dyDescent="0.35">
      <c r="A64">
        <v>63</v>
      </c>
      <c r="B64" t="s">
        <v>26</v>
      </c>
      <c r="C64" t="s">
        <v>38</v>
      </c>
      <c r="D64" t="s">
        <v>28</v>
      </c>
      <c r="E64" t="s">
        <v>47</v>
      </c>
      <c r="F64" t="s">
        <v>30</v>
      </c>
      <c r="G64">
        <v>5</v>
      </c>
      <c r="H64" t="s">
        <v>41</v>
      </c>
    </row>
    <row r="65" spans="1:8" x14ac:dyDescent="0.35">
      <c r="A65">
        <v>64</v>
      </c>
      <c r="B65" t="s">
        <v>42</v>
      </c>
      <c r="C65" t="s">
        <v>27</v>
      </c>
      <c r="D65" t="s">
        <v>28</v>
      </c>
      <c r="E65" t="s">
        <v>29</v>
      </c>
      <c r="F65" t="s">
        <v>54</v>
      </c>
      <c r="G65">
        <v>8</v>
      </c>
      <c r="H65" t="s">
        <v>31</v>
      </c>
    </row>
    <row r="66" spans="1:8" x14ac:dyDescent="0.35">
      <c r="A66">
        <v>65</v>
      </c>
      <c r="B66" t="s">
        <v>53</v>
      </c>
      <c r="C66" t="s">
        <v>27</v>
      </c>
      <c r="D66" t="s">
        <v>33</v>
      </c>
      <c r="E66" t="s">
        <v>34</v>
      </c>
      <c r="F66" t="s">
        <v>44</v>
      </c>
      <c r="G66">
        <v>9</v>
      </c>
      <c r="H66" t="s">
        <v>41</v>
      </c>
    </row>
    <row r="67" spans="1:8" x14ac:dyDescent="0.35">
      <c r="A67">
        <v>66</v>
      </c>
      <c r="B67" t="s">
        <v>37</v>
      </c>
      <c r="C67" t="s">
        <v>38</v>
      </c>
      <c r="D67" t="s">
        <v>28</v>
      </c>
      <c r="E67" t="s">
        <v>47</v>
      </c>
      <c r="F67" t="s">
        <v>40</v>
      </c>
      <c r="G67">
        <v>14</v>
      </c>
      <c r="H67" t="s">
        <v>52</v>
      </c>
    </row>
    <row r="68" spans="1:8" x14ac:dyDescent="0.35">
      <c r="A68">
        <v>67</v>
      </c>
      <c r="B68" t="s">
        <v>42</v>
      </c>
      <c r="C68" t="s">
        <v>27</v>
      </c>
      <c r="D68" t="s">
        <v>28</v>
      </c>
      <c r="E68" t="s">
        <v>47</v>
      </c>
      <c r="F68" t="s">
        <v>54</v>
      </c>
      <c r="G68">
        <v>17</v>
      </c>
      <c r="H68" t="s">
        <v>52</v>
      </c>
    </row>
    <row r="69" spans="1:8" x14ac:dyDescent="0.35">
      <c r="A69">
        <v>68</v>
      </c>
      <c r="B69" t="s">
        <v>37</v>
      </c>
      <c r="C69" t="s">
        <v>38</v>
      </c>
      <c r="D69" t="s">
        <v>33</v>
      </c>
      <c r="E69" t="s">
        <v>39</v>
      </c>
      <c r="F69" t="s">
        <v>40</v>
      </c>
      <c r="G69">
        <v>2</v>
      </c>
      <c r="H69" t="s">
        <v>45</v>
      </c>
    </row>
    <row r="70" spans="1:8" x14ac:dyDescent="0.35">
      <c r="A70">
        <v>69</v>
      </c>
      <c r="B70" t="s">
        <v>53</v>
      </c>
      <c r="C70" t="s">
        <v>38</v>
      </c>
      <c r="D70" t="s">
        <v>28</v>
      </c>
      <c r="E70" t="s">
        <v>29</v>
      </c>
      <c r="F70" t="s">
        <v>54</v>
      </c>
      <c r="G70">
        <v>21</v>
      </c>
      <c r="H70" t="s">
        <v>31</v>
      </c>
    </row>
    <row r="71" spans="1:8" x14ac:dyDescent="0.35">
      <c r="A71">
        <v>70</v>
      </c>
      <c r="B71" t="s">
        <v>26</v>
      </c>
      <c r="C71" t="s">
        <v>27</v>
      </c>
      <c r="D71" t="s">
        <v>33</v>
      </c>
      <c r="E71" t="s">
        <v>47</v>
      </c>
      <c r="F71" t="s">
        <v>46</v>
      </c>
      <c r="G71">
        <v>15</v>
      </c>
      <c r="H71" t="s">
        <v>45</v>
      </c>
    </row>
    <row r="72" spans="1:8" x14ac:dyDescent="0.35">
      <c r="A72">
        <v>71</v>
      </c>
      <c r="B72" t="s">
        <v>32</v>
      </c>
      <c r="C72" t="s">
        <v>38</v>
      </c>
      <c r="D72" t="s">
        <v>28</v>
      </c>
      <c r="E72" t="s">
        <v>47</v>
      </c>
      <c r="F72" t="s">
        <v>46</v>
      </c>
      <c r="G72">
        <v>18</v>
      </c>
      <c r="H72" t="s">
        <v>51</v>
      </c>
    </row>
    <row r="73" spans="1:8" x14ac:dyDescent="0.35">
      <c r="A73">
        <v>72</v>
      </c>
      <c r="B73" t="s">
        <v>42</v>
      </c>
      <c r="C73" t="s">
        <v>38</v>
      </c>
      <c r="D73" t="s">
        <v>33</v>
      </c>
      <c r="E73" t="s">
        <v>34</v>
      </c>
      <c r="F73" t="s">
        <v>48</v>
      </c>
      <c r="G73">
        <v>30</v>
      </c>
      <c r="H73" t="s">
        <v>51</v>
      </c>
    </row>
    <row r="74" spans="1:8" x14ac:dyDescent="0.35">
      <c r="A74">
        <v>73</v>
      </c>
      <c r="B74" t="s">
        <v>53</v>
      </c>
      <c r="C74" t="s">
        <v>27</v>
      </c>
      <c r="D74" t="s">
        <v>28</v>
      </c>
      <c r="E74" t="s">
        <v>43</v>
      </c>
      <c r="F74" t="s">
        <v>54</v>
      </c>
      <c r="G74">
        <v>1</v>
      </c>
      <c r="H74" t="s">
        <v>31</v>
      </c>
    </row>
    <row r="75" spans="1:8" x14ac:dyDescent="0.35">
      <c r="A75">
        <v>74</v>
      </c>
      <c r="B75" t="s">
        <v>53</v>
      </c>
      <c r="C75" t="s">
        <v>38</v>
      </c>
      <c r="D75" t="s">
        <v>33</v>
      </c>
      <c r="E75" t="s">
        <v>47</v>
      </c>
      <c r="F75" t="s">
        <v>48</v>
      </c>
      <c r="G75">
        <v>30</v>
      </c>
      <c r="H75" t="s">
        <v>51</v>
      </c>
    </row>
    <row r="76" spans="1:8" x14ac:dyDescent="0.35">
      <c r="A76">
        <v>75</v>
      </c>
      <c r="B76" t="s">
        <v>37</v>
      </c>
      <c r="C76" t="s">
        <v>27</v>
      </c>
      <c r="D76" t="s">
        <v>33</v>
      </c>
      <c r="E76" t="s">
        <v>34</v>
      </c>
      <c r="F76" t="s">
        <v>40</v>
      </c>
      <c r="G76">
        <v>2</v>
      </c>
      <c r="H76" t="s">
        <v>51</v>
      </c>
    </row>
    <row r="77" spans="1:8" x14ac:dyDescent="0.35">
      <c r="A77">
        <v>76</v>
      </c>
      <c r="B77" t="s">
        <v>53</v>
      </c>
      <c r="C77" t="s">
        <v>27</v>
      </c>
      <c r="D77" t="s">
        <v>28</v>
      </c>
      <c r="E77" t="s">
        <v>39</v>
      </c>
      <c r="F77" t="s">
        <v>54</v>
      </c>
      <c r="G77">
        <v>3</v>
      </c>
      <c r="H77" t="s">
        <v>51</v>
      </c>
    </row>
    <row r="78" spans="1:8" x14ac:dyDescent="0.35">
      <c r="A78">
        <v>77</v>
      </c>
      <c r="B78" t="s">
        <v>32</v>
      </c>
      <c r="C78" t="s">
        <v>27</v>
      </c>
      <c r="D78" t="s">
        <v>33</v>
      </c>
      <c r="E78" t="s">
        <v>29</v>
      </c>
      <c r="F78" t="s">
        <v>46</v>
      </c>
      <c r="G78">
        <v>15</v>
      </c>
      <c r="H78" t="s">
        <v>36</v>
      </c>
    </row>
    <row r="79" spans="1:8" x14ac:dyDescent="0.35">
      <c r="A79">
        <v>78</v>
      </c>
      <c r="B79" t="s">
        <v>37</v>
      </c>
      <c r="C79" t="s">
        <v>27</v>
      </c>
      <c r="D79" t="s">
        <v>33</v>
      </c>
      <c r="E79" t="s">
        <v>29</v>
      </c>
      <c r="F79" t="s">
        <v>49</v>
      </c>
      <c r="G79">
        <v>34</v>
      </c>
      <c r="H79" t="s">
        <v>52</v>
      </c>
    </row>
    <row r="80" spans="1:8" x14ac:dyDescent="0.35">
      <c r="A80">
        <v>79</v>
      </c>
      <c r="B80" t="s">
        <v>26</v>
      </c>
      <c r="C80" t="s">
        <v>38</v>
      </c>
      <c r="D80" t="s">
        <v>33</v>
      </c>
      <c r="E80" t="s">
        <v>39</v>
      </c>
      <c r="F80" t="s">
        <v>46</v>
      </c>
      <c r="G80">
        <v>15</v>
      </c>
      <c r="H80" t="s">
        <v>31</v>
      </c>
    </row>
    <row r="81" spans="1:8" x14ac:dyDescent="0.35">
      <c r="A81">
        <v>80</v>
      </c>
      <c r="B81" t="s">
        <v>53</v>
      </c>
      <c r="C81" t="s">
        <v>38</v>
      </c>
      <c r="D81" t="s">
        <v>33</v>
      </c>
      <c r="E81" t="s">
        <v>39</v>
      </c>
      <c r="F81" t="s">
        <v>54</v>
      </c>
      <c r="G81">
        <v>29</v>
      </c>
      <c r="H81" t="s">
        <v>52</v>
      </c>
    </row>
    <row r="82" spans="1:8" x14ac:dyDescent="0.35">
      <c r="A82">
        <v>81</v>
      </c>
      <c r="B82" t="s">
        <v>32</v>
      </c>
      <c r="C82" t="s">
        <v>27</v>
      </c>
      <c r="D82" t="s">
        <v>33</v>
      </c>
      <c r="E82" t="s">
        <v>47</v>
      </c>
      <c r="F82" t="s">
        <v>30</v>
      </c>
      <c r="G82">
        <v>20</v>
      </c>
      <c r="H82" t="s">
        <v>52</v>
      </c>
    </row>
    <row r="83" spans="1:8" x14ac:dyDescent="0.35">
      <c r="A83">
        <v>82</v>
      </c>
      <c r="B83" t="s">
        <v>53</v>
      </c>
      <c r="C83" t="s">
        <v>38</v>
      </c>
      <c r="D83" t="s">
        <v>28</v>
      </c>
      <c r="E83" t="s">
        <v>43</v>
      </c>
      <c r="F83" t="s">
        <v>54</v>
      </c>
      <c r="G83">
        <v>22</v>
      </c>
      <c r="H83" t="s">
        <v>45</v>
      </c>
    </row>
    <row r="84" spans="1:8" x14ac:dyDescent="0.35">
      <c r="A84">
        <v>83</v>
      </c>
      <c r="B84" t="s">
        <v>32</v>
      </c>
      <c r="C84" t="s">
        <v>38</v>
      </c>
      <c r="D84" t="s">
        <v>28</v>
      </c>
      <c r="E84" t="s">
        <v>43</v>
      </c>
      <c r="F84" t="s">
        <v>30</v>
      </c>
      <c r="G84">
        <v>25</v>
      </c>
      <c r="H84" t="s">
        <v>52</v>
      </c>
    </row>
    <row r="85" spans="1:8" x14ac:dyDescent="0.35">
      <c r="A85">
        <v>84</v>
      </c>
      <c r="B85" t="s">
        <v>26</v>
      </c>
      <c r="C85" t="s">
        <v>38</v>
      </c>
      <c r="D85" t="s">
        <v>28</v>
      </c>
      <c r="E85" t="s">
        <v>43</v>
      </c>
      <c r="F85" t="s">
        <v>35</v>
      </c>
      <c r="G85">
        <v>31</v>
      </c>
      <c r="H85" t="s">
        <v>45</v>
      </c>
    </row>
    <row r="86" spans="1:8" x14ac:dyDescent="0.35">
      <c r="A86">
        <v>85</v>
      </c>
      <c r="B86" t="s">
        <v>26</v>
      </c>
      <c r="C86" t="s">
        <v>27</v>
      </c>
      <c r="D86" t="s">
        <v>28</v>
      </c>
      <c r="E86" t="s">
        <v>47</v>
      </c>
      <c r="F86" t="s">
        <v>35</v>
      </c>
      <c r="G86">
        <v>6</v>
      </c>
      <c r="H86" t="s">
        <v>52</v>
      </c>
    </row>
    <row r="87" spans="1:8" x14ac:dyDescent="0.35">
      <c r="A87">
        <v>86</v>
      </c>
      <c r="B87" t="s">
        <v>53</v>
      </c>
      <c r="C87" t="s">
        <v>38</v>
      </c>
      <c r="D87" t="s">
        <v>33</v>
      </c>
      <c r="E87" t="s">
        <v>43</v>
      </c>
      <c r="F87" t="s">
        <v>54</v>
      </c>
      <c r="G87">
        <v>8</v>
      </c>
      <c r="H87" t="s">
        <v>31</v>
      </c>
    </row>
    <row r="88" spans="1:8" x14ac:dyDescent="0.35">
      <c r="A88">
        <v>87</v>
      </c>
      <c r="B88" t="s">
        <v>26</v>
      </c>
      <c r="C88" t="s">
        <v>27</v>
      </c>
      <c r="D88" t="s">
        <v>33</v>
      </c>
      <c r="E88" t="s">
        <v>29</v>
      </c>
      <c r="F88" t="s">
        <v>30</v>
      </c>
      <c r="G88">
        <v>32</v>
      </c>
      <c r="H88" t="s">
        <v>41</v>
      </c>
    </row>
    <row r="89" spans="1:8" x14ac:dyDescent="0.35">
      <c r="A89">
        <v>88</v>
      </c>
      <c r="B89" t="s">
        <v>26</v>
      </c>
      <c r="C89" t="s">
        <v>27</v>
      </c>
      <c r="D89" t="s">
        <v>33</v>
      </c>
      <c r="E89" t="s">
        <v>43</v>
      </c>
      <c r="F89" t="s">
        <v>30</v>
      </c>
      <c r="G89">
        <v>19</v>
      </c>
      <c r="H89" t="s">
        <v>52</v>
      </c>
    </row>
    <row r="90" spans="1:8" x14ac:dyDescent="0.35">
      <c r="A90">
        <v>89</v>
      </c>
      <c r="B90" t="s">
        <v>37</v>
      </c>
      <c r="C90" t="s">
        <v>27</v>
      </c>
      <c r="D90" t="s">
        <v>28</v>
      </c>
      <c r="E90" t="s">
        <v>29</v>
      </c>
      <c r="F90" t="s">
        <v>49</v>
      </c>
      <c r="G90">
        <v>8</v>
      </c>
      <c r="H90" t="s">
        <v>52</v>
      </c>
    </row>
    <row r="91" spans="1:8" x14ac:dyDescent="0.35">
      <c r="A91">
        <v>90</v>
      </c>
      <c r="B91" t="s">
        <v>32</v>
      </c>
      <c r="C91" t="s">
        <v>38</v>
      </c>
      <c r="D91" t="s">
        <v>33</v>
      </c>
      <c r="E91" t="s">
        <v>34</v>
      </c>
      <c r="F91" t="s">
        <v>35</v>
      </c>
      <c r="G91">
        <v>2</v>
      </c>
      <c r="H91" t="s">
        <v>52</v>
      </c>
    </row>
    <row r="92" spans="1:8" x14ac:dyDescent="0.35">
      <c r="A92">
        <v>91</v>
      </c>
      <c r="B92" t="s">
        <v>32</v>
      </c>
      <c r="C92" t="s">
        <v>38</v>
      </c>
      <c r="D92" t="s">
        <v>28</v>
      </c>
      <c r="E92" t="s">
        <v>43</v>
      </c>
      <c r="F92" t="s">
        <v>46</v>
      </c>
      <c r="G92">
        <v>27</v>
      </c>
      <c r="H92" t="s">
        <v>45</v>
      </c>
    </row>
    <row r="93" spans="1:8" x14ac:dyDescent="0.35">
      <c r="A93">
        <v>92</v>
      </c>
      <c r="B93" t="s">
        <v>32</v>
      </c>
      <c r="C93" t="s">
        <v>27</v>
      </c>
      <c r="D93" t="s">
        <v>28</v>
      </c>
      <c r="E93" t="s">
        <v>39</v>
      </c>
      <c r="F93" t="s">
        <v>35</v>
      </c>
      <c r="G93">
        <v>28</v>
      </c>
      <c r="H93" t="s">
        <v>41</v>
      </c>
    </row>
    <row r="94" spans="1:8" x14ac:dyDescent="0.35">
      <c r="A94">
        <v>93</v>
      </c>
      <c r="B94" t="s">
        <v>26</v>
      </c>
      <c r="C94" t="s">
        <v>27</v>
      </c>
      <c r="D94" t="s">
        <v>28</v>
      </c>
      <c r="E94" t="s">
        <v>47</v>
      </c>
      <c r="F94" t="s">
        <v>35</v>
      </c>
      <c r="G94">
        <v>6</v>
      </c>
      <c r="H94" t="s">
        <v>45</v>
      </c>
    </row>
    <row r="95" spans="1:8" x14ac:dyDescent="0.35">
      <c r="A95">
        <v>94</v>
      </c>
      <c r="B95" t="s">
        <v>53</v>
      </c>
      <c r="C95" t="s">
        <v>38</v>
      </c>
      <c r="D95" t="s">
        <v>28</v>
      </c>
      <c r="E95" t="s">
        <v>47</v>
      </c>
      <c r="F95" t="s">
        <v>48</v>
      </c>
      <c r="G95">
        <v>25</v>
      </c>
      <c r="H95" t="s">
        <v>41</v>
      </c>
    </row>
    <row r="96" spans="1:8" x14ac:dyDescent="0.35">
      <c r="A96">
        <v>95</v>
      </c>
      <c r="B96" t="s">
        <v>32</v>
      </c>
      <c r="C96" t="s">
        <v>27</v>
      </c>
      <c r="D96" t="s">
        <v>28</v>
      </c>
      <c r="E96" t="s">
        <v>34</v>
      </c>
      <c r="F96" t="s">
        <v>35</v>
      </c>
      <c r="G96">
        <v>11</v>
      </c>
      <c r="H96" t="s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4.5" x14ac:dyDescent="0.35"/>
  <cols>
    <col min="1" max="2" width="30" customWidth="1"/>
    <col min="3" max="3" width="23" customWidth="1"/>
    <col min="4" max="4" width="30" customWidth="1"/>
    <col min="5" max="5" width="22" customWidth="1"/>
  </cols>
  <sheetData>
    <row r="1" spans="1:5" x14ac:dyDescent="0.3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35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35">
      <c r="A3" t="s">
        <v>65</v>
      </c>
      <c r="B3" t="s">
        <v>66</v>
      </c>
      <c r="C3" t="s">
        <v>67</v>
      </c>
      <c r="D3" t="s">
        <v>68</v>
      </c>
      <c r="E3" t="s">
        <v>69</v>
      </c>
    </row>
    <row r="4" spans="1:5" x14ac:dyDescent="0.35">
      <c r="A4" t="s">
        <v>70</v>
      </c>
      <c r="B4" t="s">
        <v>71</v>
      </c>
      <c r="C4" t="s">
        <v>62</v>
      </c>
      <c r="D4" t="s">
        <v>72</v>
      </c>
      <c r="E4" t="s">
        <v>73</v>
      </c>
    </row>
    <row r="5" spans="1:5" x14ac:dyDescent="0.35">
      <c r="A5" t="s">
        <v>74</v>
      </c>
      <c r="B5" t="s">
        <v>75</v>
      </c>
      <c r="C5" t="s">
        <v>62</v>
      </c>
      <c r="D5" t="s">
        <v>76</v>
      </c>
      <c r="E5" t="s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4.5" x14ac:dyDescent="0.35"/>
  <cols>
    <col min="1" max="1" width="26" customWidth="1"/>
    <col min="2" max="2" width="49.453125" bestFit="1" customWidth="1"/>
    <col min="3" max="3" width="21" customWidth="1"/>
    <col min="4" max="4" width="30" customWidth="1"/>
  </cols>
  <sheetData>
    <row r="1" spans="1:4" x14ac:dyDescent="0.35">
      <c r="A1" s="1" t="s">
        <v>78</v>
      </c>
      <c r="B1" s="1" t="s">
        <v>79</v>
      </c>
      <c r="C1" s="1" t="s">
        <v>80</v>
      </c>
      <c r="D1" s="1" t="s">
        <v>81</v>
      </c>
    </row>
    <row r="2" spans="1:4" x14ac:dyDescent="0.35">
      <c r="A2" t="s">
        <v>82</v>
      </c>
      <c r="B2" t="s">
        <v>83</v>
      </c>
      <c r="C2" t="s">
        <v>84</v>
      </c>
      <c r="D2" t="s">
        <v>85</v>
      </c>
    </row>
    <row r="3" spans="1:4" x14ac:dyDescent="0.35">
      <c r="A3" t="s">
        <v>86</v>
      </c>
      <c r="B3" t="s">
        <v>87</v>
      </c>
      <c r="C3" t="s">
        <v>84</v>
      </c>
      <c r="D3" t="s">
        <v>88</v>
      </c>
    </row>
    <row r="4" spans="1:4" x14ac:dyDescent="0.35">
      <c r="A4" t="s">
        <v>89</v>
      </c>
      <c r="B4" t="s">
        <v>90</v>
      </c>
      <c r="C4" t="s">
        <v>84</v>
      </c>
      <c r="D4" t="s">
        <v>91</v>
      </c>
    </row>
    <row r="5" spans="1:4" x14ac:dyDescent="0.35">
      <c r="A5" t="s">
        <v>92</v>
      </c>
      <c r="B5" t="s">
        <v>93</v>
      </c>
      <c r="C5" t="s">
        <v>84</v>
      </c>
      <c r="D5" t="s">
        <v>94</v>
      </c>
    </row>
    <row r="6" spans="1:4" x14ac:dyDescent="0.35">
      <c r="A6" t="s">
        <v>95</v>
      </c>
      <c r="B6" t="s">
        <v>96</v>
      </c>
      <c r="C6" t="s">
        <v>97</v>
      </c>
      <c r="D6" t="s">
        <v>98</v>
      </c>
    </row>
    <row r="7" spans="1:4" x14ac:dyDescent="0.35">
      <c r="A7" t="s">
        <v>99</v>
      </c>
      <c r="B7" t="s">
        <v>100</v>
      </c>
      <c r="C7" t="s">
        <v>84</v>
      </c>
      <c r="D7" t="s">
        <v>101</v>
      </c>
    </row>
    <row r="8" spans="1:4" x14ac:dyDescent="0.35">
      <c r="A8" t="s">
        <v>102</v>
      </c>
      <c r="B8" t="s">
        <v>103</v>
      </c>
      <c r="C8" t="s">
        <v>84</v>
      </c>
      <c r="D8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Final_Analysis_Dataset</vt:lpstr>
      <vt:lpstr>Housing_Performance</vt:lpstr>
      <vt:lpstr>Monetary_Policy_Data</vt:lpstr>
      <vt:lpstr>Correlation_Analysis</vt:lpstr>
      <vt:lpstr>Respondent_Data</vt:lpstr>
      <vt:lpstr>Research_Objectives</vt:lpstr>
      <vt:lpstr>Formulas_Definitions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2026-01-04T17:14:16Z</dcterms:created>
  <dcterms:modified xsi:type="dcterms:W3CDTF">2026-01-05T08:08:30Z</dcterms:modified>
</cp:coreProperties>
</file>